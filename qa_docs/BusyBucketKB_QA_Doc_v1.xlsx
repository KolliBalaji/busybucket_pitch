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racker" sheetId="1" r:id="rId5"/>
    <sheet state="visible" name="Bug Report Log" sheetId="2" r:id="rId6"/>
    <sheet state="visible" name="Test Summary Report" sheetId="3" r:id="rId7"/>
  </sheets>
  <definedNames/>
  <calcPr/>
</workbook>
</file>

<file path=xl/sharedStrings.xml><?xml version="1.0" encoding="utf-8"?>
<sst xmlns="http://schemas.openxmlformats.org/spreadsheetml/2006/main" count="743" uniqueCount="389">
  <si>
    <t>Test Case ID</t>
  </si>
  <si>
    <t>Bug ID</t>
  </si>
  <si>
    <t>Test Summary Report — Busy Bucket</t>
  </si>
  <si>
    <t>Module</t>
  </si>
  <si>
    <t>Test Scenario</t>
  </si>
  <si>
    <t>Test Steps</t>
  </si>
  <si>
    <t>Test Data</t>
  </si>
  <si>
    <t>Expected Result</t>
  </si>
  <si>
    <t>Title</t>
  </si>
  <si>
    <t>Actual Result</t>
  </si>
  <si>
    <t>Status</t>
  </si>
  <si>
    <t>Severity</t>
  </si>
  <si>
    <t>Priority</t>
  </si>
  <si>
    <t>Type</t>
  </si>
  <si>
    <t>Steps to Reproduce</t>
  </si>
  <si>
    <t>Tested By</t>
  </si>
  <si>
    <t>Date Tested</t>
  </si>
  <si>
    <t>Expected Behavior</t>
  </si>
  <si>
    <t>Actual Behavior</t>
  </si>
  <si>
    <t>Project Name</t>
  </si>
  <si>
    <t>Environment</t>
  </si>
  <si>
    <t>Notes</t>
  </si>
  <si>
    <t>TC_BB_001</t>
  </si>
  <si>
    <t>Environment/Browser</t>
  </si>
  <si>
    <t>Reported By</t>
  </si>
  <si>
    <t>Date Reported</t>
  </si>
  <si>
    <t>Functional</t>
  </si>
  <si>
    <t>Selecting a service updates UI state</t>
  </si>
  <si>
    <t>1. Open site
2. Click a service option</t>
  </si>
  <si>
    <t>Any service</t>
  </si>
  <si>
    <t>Selected service is visually highlighted/marked as active</t>
  </si>
  <si>
    <t>Service selection visibly highlights on click; deselects previous on new click</t>
  </si>
  <si>
    <t>Test Cycle / Date Range</t>
  </si>
  <si>
    <t>Pass</t>
  </si>
  <si>
    <t>Total Test Cases</t>
  </si>
  <si>
    <t>Medium</t>
  </si>
  <si>
    <t>P2</t>
  </si>
  <si>
    <t>Manual</t>
  </si>
  <si>
    <t>BUG_BB_001</t>
  </si>
  <si>
    <t>Kolli Balaji</t>
  </si>
  <si>
    <t>Booking proceeds with silently defaulted service when no service is selected</t>
  </si>
  <si>
    <t>Chrome 151, Windows 11, Desktop, 1440px  &amp;  Chrome 128, Windows 11, Desktop DevTools @ 390px  &amp;  Chrome Mobile, Android 14, TECNO Pro, 390px</t>
  </si>
  <si>
    <t>TC_BB_002</t>
  </si>
  <si>
    <t>Booking Flow</t>
  </si>
  <si>
    <t>Selecting a city updates UI state</t>
  </si>
  <si>
    <t>1. Open site
2. Click a city option</t>
  </si>
  <si>
    <t>Any city</t>
  </si>
  <si>
    <t>1. Load site (city has default pre-selected)\n2a. Select a city, leave service untouched, click Book Now — OR —\n2b. Touch nothing at all, click Book Now immediately</t>
  </si>
  <si>
    <t>Selected city is visually highlighted/marked as active</t>
  </si>
  <si>
    <t>Button should be disabled or show a validation prompt, since no service was actively selected by the user</t>
  </si>
  <si>
    <t>City selection visibly highlights on click; tested all cities in list, no overflow/registration issues</t>
  </si>
  <si>
    <t>App proceeds without validation in both paths. Fallback message text is inconsistent depending on interaction path — shows "cleaning services" when city was actively selected but service wasn't, vs generic "your services" when neither was touched. Indicates missing validation plus non-uniform fallback/default logic for the service field.</t>
  </si>
  <si>
    <t>High</t>
  </si>
  <si>
    <t>P1</t>
  </si>
  <si>
    <t>Open</t>
  </si>
  <si>
    <t xml:space="preserve">Chrome 151, Windows 11, Desktop, 1440px </t>
  </si>
  <si>
    <t>TC_BB_003</t>
  </si>
  <si>
    <t>Service+city generates correct WhatsApp message</t>
  </si>
  <si>
    <t>1. Select a service
2. Select a city
3. Click Book Now</t>
  </si>
  <si>
    <t>Service=X, City=Y</t>
  </si>
  <si>
    <t>WhatsApp opens with message containing exact service X and city Y</t>
  </si>
  <si>
    <t>WhatsApp message correctly shows selected service and city, no undefined/broken strings</t>
  </si>
  <si>
    <t>TC_BB_004</t>
  </si>
  <si>
    <t>Message content matches exact selection (no mismatch)</t>
  </si>
  <si>
    <t>1. Select Service A + City B
2. Inspect generated message text</t>
  </si>
  <si>
    <t>Service A, City B</t>
  </si>
  <si>
    <t>Message text says Service A and City B, not any other combination</t>
  </si>
  <si>
    <t>Changing service while city stays fixed correctly updates message with no leftover values</t>
  </si>
  <si>
    <t>BUG_BB_002</t>
  </si>
  <si>
    <t>TC_BB_005</t>
  </si>
  <si>
    <t>Rapid CTA clicks trigger multiple WhatsApp windows (no debounce)</t>
  </si>
  <si>
    <t>WhatsApp link uses correct phone number and URL scheme</t>
  </si>
  <si>
    <t>1. Trigger booking
2. Inspect the href/link before it opens</t>
  </si>
  <si>
    <t>Click Book Now rapidly 5-10 times in succession</t>
  </si>
  <si>
    <t>N/A</t>
  </si>
  <si>
    <t>Only one WhatsApp window/tab opens per booking action</t>
  </si>
  <si>
    <t>Link matches wa.me/&lt;correct number&gt; or api.whatsapp.com/send with correct number</t>
  </si>
  <si>
    <t>Passed</t>
  </si>
  <si>
    <t>window.open fires once per click with no throttling, opening multiple duplicate WhatsApp windows/tabs</t>
  </si>
  <si>
    <t>Inspected CTA href via DevTools. Link format: https://api.whatsapp.com/send/?phone=919615920005&amp;text=Hello..+I+want+your+cleaning+services&amp;type=phone_number&amp;app_absent=0. Correct scheme, phone number matches business number digit-for-digit, text properly URL-encoded (spaces as +), redirects successfully to WhatsApp app with pre-filled chat.</t>
  </si>
  <si>
    <t>Critical</t>
  </si>
  <si>
    <t>Cypress automated (booking-flow.cy.js)</t>
  </si>
  <si>
    <t>BUG_BB_003</t>
  </si>
  <si>
    <t>TC_BB_006</t>
  </si>
  <si>
    <t>WCAG contrast/layout violations detected on main page</t>
  </si>
  <si>
    <t>Booking completes quickly with no extra steps</t>
  </si>
  <si>
    <t>Accessibility</t>
  </si>
  <si>
    <t>1. Time yourself from landing to WhatsApp opening</t>
  </si>
  <si>
    <t>Run automated WCAG audit (cypress-axe) against the live page</t>
  </si>
  <si>
    <t>No WCAG AA violations</t>
  </si>
  <si>
    <t>Flow completes in well under 10 seconds with no unnecessary clicks</t>
  </si>
  <si>
    <t>Timed 3 trials from page-interactive to WhatsApp opening: Trial 1 = 3s, Trial 2 = 4s, Trial 3 = 6s. Average = 4.3s.</t>
  </si>
  <si>
    <t>Contrast and layout validation errors flagged by automated audit</t>
  </si>
  <si>
    <t>Low</t>
  </si>
  <si>
    <t>P3</t>
  </si>
  <si>
    <t>Cypress + cypress-axe (accessibility.cy.js)</t>
  </si>
  <si>
    <t>TC_BB_007</t>
  </si>
  <si>
    <t>BUG_BB_004</t>
  </si>
  <si>
    <t>Icon-only mobile header/call links missing aria-labels</t>
  </si>
  <si>
    <t>Behavior when only service selected (no city)</t>
  </si>
  <si>
    <t>1. Select a service only
2. Attempt to click Book Now</t>
  </si>
  <si>
    <t>Failed</t>
  </si>
  <si>
    <t>Inspect mobile header and call-action icon links for accessible name</t>
  </si>
  <si>
    <t>Service=X, City=None</t>
  </si>
  <si>
    <t>Button disabled OR clear prompt to select a city (no silent failure)</t>
  </si>
  <si>
    <t>All icon-only interactive elements have aria-label or equivalent accessible text</t>
  </si>
  <si>
    <t>Mobile header and call links have no aria-label, unreadable by screen readers</t>
  </si>
  <si>
    <t>Site loads with a default city pre-selected. There is no reachable UI state where city is empty while a service is selected — user cannot deselect the default city through normal interaction.</t>
  </si>
  <si>
    <t>Original test assumed city could be left unselected. App pre-fills a default city on load, making this state unreachable via UI. See TC_BB_007b for follow-up test.</t>
  </si>
  <si>
    <t>BUG_BB_005</t>
  </si>
  <si>
    <t>TC_BB_008</t>
  </si>
  <si>
    <t>No loading indicator shown during slow network conditions</t>
  </si>
  <si>
    <t>Edge Cases</t>
  </si>
  <si>
    <t>Behavior when only city selected (no service)</t>
  </si>
  <si>
    <t>1. Select a city only
2. Attempt to click Book Now</t>
  </si>
  <si>
    <t>Throttle network to Slow 3G (or simulate via Cypress intercept delay), reload page</t>
  </si>
  <si>
    <t>Service=None, City=Y</t>
  </si>
  <si>
    <t>Loading spinner/indicator shown during load delay</t>
  </si>
  <si>
    <t>Button disabled OR clear prompt to select a service</t>
  </si>
  <si>
    <t>No loading UI present; page appears blank/frozen during delay</t>
  </si>
  <si>
    <t>Selected a city only, did not select any service, clicked Book Now. App did not block the action or show validation — redirected to WhatsApp with message "Hello.. I want your cleaning services," defaulting to "cleaning" despite no service being selected.</t>
  </si>
  <si>
    <t>Fail</t>
  </si>
  <si>
    <t>Blocked</t>
  </si>
  <si>
    <t>Cypress (edge-cases.cy.js)</t>
  </si>
  <si>
    <t>Manual &amp; Automated</t>
  </si>
  <si>
    <t>BUG_BB_006</t>
  </si>
  <si>
    <t>No offline message shown when connection drops</t>
  </si>
  <si>
    <t>Asymmetric bug vs TC_BB_007: city has a visible intentional default, but service silently falls back to "cleaning" with no visible selection or user awareness. Confirmed via automated Cypress test (booking-flow.cy.js) — see BUG_BB_001.</t>
  </si>
  <si>
    <t>TC_BB_009</t>
  </si>
  <si>
    <t>Simulate offline state (DevTools/Cypress network mock), attempt to interact</t>
  </si>
  <si>
    <t>Clear "you're offline" message shown to user</t>
  </si>
  <si>
    <t>Behavior when nothing selected and user proceeds</t>
  </si>
  <si>
    <t>1. Load site fresh
2. Immediately click Book Now</t>
  </si>
  <si>
    <t>No offline messaging; app shows broken/blank state</t>
  </si>
  <si>
    <t>No selections</t>
  </si>
  <si>
    <t>Button disabled OR validation message shown, no crash/blank message</t>
  </si>
  <si>
    <t>Loaded page fresh, clicked Book Now immediately without any interaction. No block or validation shown — redirected to WhatsApp with message "Hello.. I want your services," using generic placeholder text instead of a specific service name.</t>
  </si>
  <si>
    <t>BUG_BB_007</t>
  </si>
  <si>
    <t>Swipe-back navigation gesture after selection leads to blank 404 page</t>
  </si>
  <si>
    <t>Not Run</t>
  </si>
  <si>
    <t>Routing / Navigation</t>
  </si>
  <si>
    <t>Same root cause as TC_BB_008 (no service validation) but message text differs — "your services" here vs "cleaning services" in TC_BB_008, despite both having no service selected. Suggests inconsistent fallback logic. Confirmed via automated Cypress test (booking-flow.cy.js) — see BUG_BB_001.</t>
  </si>
  <si>
    <t>1. On mobile, select one or more services\n2. Perform a right-to-left edge swipe (native browser back gesture)\n3. Observe result</t>
  </si>
  <si>
    <t>TC_BB_010</t>
  </si>
  <si>
    <t>Should return to previous valid app state or homepage</t>
  </si>
  <si>
    <t>Page goes blank and displays a 404 Not Found error</t>
  </si>
  <si>
    <t>Re-selecting different service/city updates message</t>
  </si>
  <si>
    <t>1. Select Service A + City B
2. Change to Service C + City D
3. Click Book Now</t>
  </si>
  <si>
    <t>A/B then C/D</t>
  </si>
  <si>
    <t>Final message reflects C+D only, no leftover A/B text</t>
  </si>
  <si>
    <t>Selected Service A + City B, then changed selection to Service C + City D, clicked Book Now. Message correctly reflected only C+D with no leftover A/B values — state re-computed correctly on re-selection.</t>
  </si>
  <si>
    <t>Chrome 151, Windows 11, Desktop, 1440px</t>
  </si>
  <si>
    <t>TC_BB_011</t>
  </si>
  <si>
    <t>Functional / Routing</t>
  </si>
  <si>
    <t>Back-navigation via mobile swipe gesture after multi-selection results in blank/404 page</t>
  </si>
  <si>
    <t>1. Select multiple services on mobile\n2. Perform right-to-left edge swipe gesture (native back navigation)\n3. Observe resulting page</t>
  </si>
  <si>
    <t>Pass Rate (%)</t>
  </si>
  <si>
    <t>Multiple service selections, mobile touch gesture</t>
  </si>
  <si>
    <t>App returns to previous valid state or homepage, not a broken/blank page</t>
  </si>
  <si>
    <t>After selecting services and swiping back (right-to-left edge gesture), site went blank and displayed a 404 Not Found page</t>
  </si>
  <si>
    <t>Chrome Mobile  — Android</t>
  </si>
  <si>
    <t>Not caught by Cypress automation — gesture-based navigation is OS-level, outside headless browser simulation scope. Related to TC_BB_011 (back nav) and TC_BB_016 (404 handling) but new distinct failure mode. See BUG_BB_007.</t>
  </si>
  <si>
    <t>TC_BB_012</t>
  </si>
  <si>
    <t>Refreshing mid-flow — selection loss behavior</t>
  </si>
  <si>
    <t>1. Make selections
2. Refresh page (F5)</t>
  </si>
  <si>
    <t>Any selections</t>
  </si>
  <si>
    <t>Document actual behavior — note if this matches intended UX</t>
  </si>
  <si>
    <t>Made selections, hit F5. Selections reset to default state on refresh — no persistence across reload, as expected for a stateless SPA with no localStorage/sessionStorage implementation.</t>
  </si>
  <si>
    <t>TC_BB_013</t>
  </si>
  <si>
    <t>Routing</t>
  </si>
  <si>
    <t>All service x city combinations produce valid messages (spot check 5-6)</t>
  </si>
  <si>
    <t>1. Pick 5-6 varied service/city pairs from config
2. Verify each generates correct message</t>
  </si>
  <si>
    <t>Multiple pairs</t>
  </si>
  <si>
    <t>Every tested combination produces correctly formatted, accurate message</t>
  </si>
  <si>
    <t>Tested 5-6 combinations from config including first entry, last entry, and entries with longer names — all generated grammatically correct, complete WhatsApp messages with no missing/broken values</t>
  </si>
  <si>
    <t>TC_BB_014</t>
  </si>
  <si>
    <t>Invalid/unsupported city or service via URL handled gracefully</t>
  </si>
  <si>
    <t>1. Manually edit URL to an invalid service/city param (if routed)</t>
  </si>
  <si>
    <t>e.g. /book/xyz/nowhere</t>
  </si>
  <si>
    <t>Graceful error/fallback page, not a blank screen or crash</t>
  </si>
  <si>
    <t xml:space="preserve">	App does not use URL params for service/city selection — selection is purely client-state (dropdown for city, checkbox for service), not reflected in the URL. Attempting a manipulated URL (e.g. with service/city query params) results in the same Vercel default 404 error page seen previously, not a graceful fallback.</t>
  </si>
  <si>
    <t>Chrome 151, Windows 11, Desktop</t>
  </si>
  <si>
    <t>Confirms app has no route handling for service/city at all — same root cause as BUG_BB_008 (missing catch-all route). Not a "friendly error/default state" as required by pass criteria — real Vercel platform error is user-facing.</t>
  </si>
  <si>
    <t>TC_BB_015</t>
  </si>
  <si>
    <t>Total Bugs Logged</t>
  </si>
  <si>
    <t>Direct URL access to a specific service/city page loads correctly</t>
  </si>
  <si>
    <t>1. Copy a deep link URL
2. Open in new tab/incognito</t>
  </si>
  <si>
    <t>Valid deep link</t>
  </si>
  <si>
    <t>Page loads directly with correct service/city pre-context (if applicable)</t>
  </si>
  <si>
    <t>App has no per-service or per-city routes by design — all selection happens via in-page dropdown/checkbox UI on a single URL. There is no route structure like /services/cleaning to test direct access against.</t>
  </si>
  <si>
    <t>Not a bug — architectural choice (single-page, client-state selection, no deep-linkable routes). Worth noting as a product/UX consideration: users currently cannot share a direct link to a pre-selected service/city combination, which may be worth a future feature discussion, but is out of scope for this test.</t>
  </si>
  <si>
    <t>TC_BB_016</t>
  </si>
  <si>
    <t>404 handling for nonexistent route</t>
  </si>
  <si>
    <t>Critical/High Bugs Open</t>
  </si>
  <si>
    <t>1. Navigate to a random nonexistent path</t>
  </si>
  <si>
    <t>e.g. /this-does-not-exist</t>
  </si>
  <si>
    <t>Custom 404 page or graceful redirect, not a blank/broken page</t>
  </si>
  <si>
    <t>Navigated to busybucketkb.vercel.app/ndf — displayed Vercel's default platform 404 page (NOT_FOUND), not a custom app-branded page. No navigation back to the app, no styling matching the site, exposes internal deployment ID.</t>
  </si>
  <si>
    <t>App has no client-side 404/catch-all route configured in React Router — Vercel's hosting layer serves its default error page before the React app ever loads. Same root issue likely affects TC_BB_011b's swipe-gesture 404. See BUG_BB_008.</t>
  </si>
  <si>
    <t>TC_BB_017</t>
  </si>
  <si>
    <t>UI/UX</t>
  </si>
  <si>
    <t>Layout integrity at 390px</t>
  </si>
  <si>
    <t>1. DevTools &gt; Toggle device toolbar
2. Set width to 390px
3. Scroll full page</t>
  </si>
  <si>
    <t>390px</t>
  </si>
  <si>
    <t>No overlapping elements, all content visible and usable</t>
  </si>
  <si>
    <t>Checked full page at 390px — no overlapping elements, all content visible and scrollable without horizontal scrollbar</t>
  </si>
  <si>
    <t>Chrome 151, Windows 11, DevTools @ 390px</t>
  </si>
  <si>
    <t>TC_BB_018</t>
  </si>
  <si>
    <t>Layout integrity at 768px</t>
  </si>
  <si>
    <t>1. Set DevTools width to 768px
2. Scroll full page</t>
  </si>
  <si>
    <t>768px</t>
  </si>
  <si>
    <t>Checked full page at 768px — layout holds, no overlap or cutoff elements</t>
  </si>
  <si>
    <t>Chrome 151, Windows 11, DevTools @ 768px</t>
  </si>
  <si>
    <t>TC_BB_019</t>
  </si>
  <si>
    <t>Layout integrity at 1024px</t>
  </si>
  <si>
    <t>1. Set DevTools width to 1024px
2. Scroll full page</t>
  </si>
  <si>
    <t>1024px</t>
  </si>
  <si>
    <t>Checked full page at 1024px — layout holds, no overlap or cutoff elements</t>
  </si>
  <si>
    <t>Chrome 151, Windows 11, DevTools @ 1024px</t>
  </si>
  <si>
    <t>Overall Status</t>
  </si>
  <si>
    <t>TC_BB_020</t>
  </si>
  <si>
    <t>Layout integrity at 1440px</t>
  </si>
  <si>
    <t>1. Set DevTools width to 1440px
2. Scroll full page</t>
  </si>
  <si>
    <t>1440px</t>
  </si>
  <si>
    <t>Checked full page at 1440px — layout holds, no overlap or cutoff elements</t>
  </si>
  <si>
    <t>TC_BB_021</t>
  </si>
  <si>
    <t>Typography scale holds at extreme widths</t>
  </si>
  <si>
    <t>1. Check heading/body text at 390px and 1440px</t>
  </si>
  <si>
    <t>390px, 1440px</t>
  </si>
  <si>
    <t>Text remains readable, no overflow/clipping/overlap</t>
  </si>
  <si>
    <t>Headings/body text checked at 390px and 1440px — no wrapping/overflow issues, golden-ratio scale holds at both extremes</t>
  </si>
  <si>
    <t>Chrome 151, Windows 11, DevTools @ 390px &amp; 1440px</t>
  </si>
  <si>
    <t>TC_BB_022</t>
  </si>
  <si>
    <t>Color contrast readability across sections</t>
  </si>
  <si>
    <t>1. Visually inspect each section's text/background contrast
2. Optionally run Lighthouse a11y audit</t>
  </si>
  <si>
    <t>Text is readable against background per WCAG AA (4.5:1 for body text)</t>
  </si>
  <si>
    <t>WCAG automated audit (cypress-axe) flagged contrast and layout validation errors on the page</t>
  </si>
  <si>
    <t>Automated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</si>
  <si>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</si>
  <si>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BUG_BB_003</t>
  </si>
  <si>
    <t>TC_BB_023</t>
  </si>
  <si>
    <t>CTAs clearly visible, not overlapped by animations</t>
  </si>
  <si>
    <t>1. Observe all animated sections
2. Check CTA visibility during animation playback</t>
  </si>
  <si>
    <t>CTA remains visible and clickable at all animation states</t>
  </si>
  <si>
    <t>Observed all animated sections during playback — CTAs remained visible and clickable throughout animation states</t>
  </si>
  <si>
    <t>TC_BB_024</t>
  </si>
  <si>
    <t>Mascot animations don't obstruct clickable elements</t>
  </si>
  <si>
    <t>1. Trigger mascot hover/scroll animations near buttons
2. Attempt to click through</t>
  </si>
  <si>
    <t>Buttons remain clickable, mascot doesn't block pointer events</t>
  </si>
  <si>
    <t>Triggered mascot hover/scroll animations near buttons and clicked through — buttons remained functional, no pointer-blocking</t>
  </si>
  <si>
    <t>TC_BB_025</t>
  </si>
  <si>
    <t>Hover states work on desktop, don't stick on touch devices</t>
  </si>
  <si>
    <t>1. Test hover on desktop mouse
2. Test tap on mobile/touch device</t>
  </si>
  <si>
    <t>Desktop + mobile</t>
  </si>
  <si>
    <t>Hover effect shows on desktop; no stuck/sticky hover state on mobile after tap</t>
  </si>
  <si>
    <t>Hover tested on desktop mouse — effect shows/reverses cleanly; tap-tested on mobile — no stuck hover state after tap</t>
  </si>
  <si>
    <t>Chrome 151 Desktop + Chrome Mobile Android</t>
  </si>
  <si>
    <t>TC_BB_026</t>
  </si>
  <si>
    <t>Scroll-triggered animations fire at correct scroll position</t>
  </si>
  <si>
    <t>1. Scroll slowly through page
2. Note where each animation triggers</t>
  </si>
  <si>
    <t>Animations trigger when element enters viewport, not too early/late</t>
  </si>
  <si>
    <t>Scrolled slowly through page — animations triggered at appropriate points as elements entered viewport</t>
  </si>
  <si>
    <t>TC_BB_027</t>
  </si>
  <si>
    <t>Success animation triggers only after real success</t>
  </si>
  <si>
    <t>1. Complete a successful booking
2. Also attempt an incomplete/failed action</t>
  </si>
  <si>
    <t>Success animation shows only on actual success, never prematurely</t>
  </si>
  <si>
    <t>Completed a successful booking — success animation played only on genuine success; did not trigger on incomplete/blocked attempts</t>
  </si>
  <si>
    <t>TC_BB_028</t>
  </si>
  <si>
    <t>Cross-Browser/Device</t>
  </si>
  <si>
    <t>Consistency across Chrome, Firefox, Safari, Edge</t>
  </si>
  <si>
    <t>1. Open site in each browser
2. Compare layout and functionality</t>
  </si>
  <si>
    <t>4 browsers</t>
  </si>
  <si>
    <t>Consistent layout and working functionality across all four</t>
  </si>
  <si>
    <t>TC_BB_029</t>
  </si>
  <si>
    <t>iOS Safari WhatsApp deep link behavior</t>
  </si>
  <si>
    <t>1. Open site on iPhone Safari
2. Trigger booking flow</t>
  </si>
  <si>
    <t>iOS device</t>
  </si>
  <si>
    <t>WhatsApp app opens correctly with pre-filled message</t>
  </si>
  <si>
    <t>TC_BB_030</t>
  </si>
  <si>
    <t>Android Chrome WhatsApp app-opening vs desktop fallback</t>
  </si>
  <si>
    <t>1. Open site on Android Chrome
2. Trigger booking
3. Repeat on desktop browser</t>
  </si>
  <si>
    <t>Android + Desktop</t>
  </si>
  <si>
    <t>Mobile opens WhatsApp app; desktop falls back to WhatsApp Web correctly</t>
  </si>
  <si>
    <t>TC_BB_031</t>
  </si>
  <si>
    <t>Animation performance on low-end Android device</t>
  </si>
  <si>
    <t>1. Open site on a low/mid-range Android phone
2. Observe scroll and hover animation smoothness</t>
  </si>
  <si>
    <t>Low-end Android</t>
  </si>
  <si>
    <t>Animations remain reasonably smooth, no major jank/freeze</t>
  </si>
  <si>
    <t>TC_BB_032</t>
  </si>
  <si>
    <t>Performance</t>
  </si>
  <si>
    <t>Page load time / LCP verification</t>
  </si>
  <si>
    <t>1. Open DevTools &gt; Lighthouse tab (Incognito)
2. Run Performance audit
3. Note LCP value</t>
  </si>
  <si>
    <t>Live site URL</t>
  </si>
  <si>
    <t>LCP under ~2.5s (Google 'good' threshold); record actual value</t>
  </si>
  <si>
    <t>TC_BB_033</t>
  </si>
  <si>
    <t>Bundle size check (JS payload)</t>
  </si>
  <si>
    <t>1. DevTools &gt; Network tab &gt; filter JS
2. Refresh page
3. Note total transferred size</t>
  </si>
  <si>
    <t>Total JS payload recorded; supports 'near-zero bundle impact' claim vs 600KB-1MB 3D libraries</t>
  </si>
  <si>
    <t>TC_BB_034</t>
  </si>
  <si>
    <t>Animation frame rate / jank check</t>
  </si>
  <si>
    <t>1. DevTools &gt; Performance tab &gt; Record
2. Scroll through animated sections
3. Stop recording, inspect FPS graph</t>
  </si>
  <si>
    <t>FPS stays close to 60fps, no long red 'long task' blocks during scroll</t>
  </si>
  <si>
    <t>TC_BB_035</t>
  </si>
  <si>
    <t>Time to Interactive (TTI)</t>
  </si>
  <si>
    <t>1. Run same Lighthouse audit as LCP test
2. Note TTI metric</t>
  </si>
  <si>
    <t>TTI value recorded; reasonably fast (few seconds range)</t>
  </si>
  <si>
    <t>TC_BB_036</t>
  </si>
  <si>
    <t>Keyboard-only navigation through booking flow</t>
  </si>
  <si>
    <t>1. Click neutral area on page
2. Use only Tab/Shift+Tab/Enter/Space
3. Attempt full booking flow</t>
  </si>
  <si>
    <t>Keyboard only, no mouse</t>
  </si>
  <si>
    <t>Every interactive element reachable and operable via keyboard in logical order</t>
  </si>
  <si>
    <t>TC_BB_037</t>
  </si>
  <si>
    <t>Screen reader labels (aria-labels) on interactive elements</t>
  </si>
  <si>
    <t>1. Inspect each icon-only button/element
2. Check for aria-label or readable text</t>
  </si>
  <si>
    <t>Every interactive element has visible text or aria-label for screen readers</t>
  </si>
  <si>
    <t>Automated cypress-axe/manual inspection found mobile header and call-action links are icon-only with no aria-label, undetectable by screen readers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</si>
  <si>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</si>
  <si>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BUG_BB_004</t>
  </si>
  <si>
    <t>TC_BB_038</t>
  </si>
  <si>
    <t>Color contrast ratios meet WCAG AA</t>
  </si>
  <si>
    <t>1. DevTools &gt; Lighthouse &gt; run Accessibility audit</t>
  </si>
  <si>
    <t>No contrast failures flagged by Lighthouse; text meets 4.5:1 ratio</t>
  </si>
  <si>
    <t>Cypress (accessibility.cy.js), Chrome/Electron, https://busybucketkb.vercel.app/</t>
  </si>
  <si>
    <t>TC_BB_039</t>
  </si>
  <si>
    <t>Focus indicators visible when tabbing</t>
  </si>
  <si>
    <t>1. Tab through the page
2. Observe visible outline/ring on focused element</t>
  </si>
  <si>
    <t>Keyboard only</t>
  </si>
  <si>
    <t>Focused element always visually identifiable, no missing outline</t>
  </si>
  <si>
    <t>TC_BB_040</t>
  </si>
  <si>
    <t>Alt text on images/mascot SVGs</t>
  </si>
  <si>
    <t>1. Inspect each img/SVG element
2. Check alt attribute or title/aria-label</t>
  </si>
  <si>
    <t>Meaningful images have descriptive alt text; decorative ones intentionally empty alt=''</t>
  </si>
  <si>
    <t>TC_BB_041</t>
  </si>
  <si>
    <t>Extremely slow network (3G throttle)</t>
  </si>
  <si>
    <t>1. DevTools &gt; Network &gt; throttle to 'Slow 3G'
2. Reload page</t>
  </si>
  <si>
    <t>Slow 3G</t>
  </si>
  <si>
    <t>Loading indicator shown, not a blank page during load</t>
  </si>
  <si>
    <t>Simulated slow network via Cypress; app shows no loading screen/spinner during the delay window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</si>
  <si>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</si>
  <si>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BUG_BB_005</t>
  </si>
  <si>
    <t>TC_BB_042</t>
  </si>
  <si>
    <t>Offline mode handling</t>
  </si>
  <si>
    <t>1. DevTools &gt; Network &gt; check 'Offline'
2. Try to reload/interact</t>
  </si>
  <si>
    <t>Offline</t>
  </si>
  <si>
    <t>Clear offline message shown, not a broken blank page</t>
  </si>
  <si>
    <t>Simulated offline state via Cypress; app shows no user-friendly offline message, likely renders broken/blank state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</si>
  <si>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</si>
  <si>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BUG_BB_006</t>
  </si>
  <si>
    <t>TC_BB_043</t>
  </si>
  <si>
    <t>Rapid repeated clicking on submit/CTA</t>
  </si>
  <si>
    <t>1. Click Book Now rapidly 5-10 times</t>
  </si>
  <si>
    <t>Only one WhatsApp window/tab opens, no duplicate triggers</t>
  </si>
  <si>
    <t>Cypress rapid-click test confirmed window.open is called multiple times with no debounce/throttle, causing duplicate WhatsApp triggers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</si>
  <si>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</si>
  <si>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BUG_BB_002</t>
  </si>
  <si>
    <t>TC_BB_044</t>
  </si>
  <si>
    <t>Browser back button after WhatsApp redirect</t>
  </si>
  <si>
    <t>1. Complete booking (redirect/new tab)
2. Click browser Back</t>
  </si>
  <si>
    <t>Returns to sensible, non-broken state</t>
  </si>
  <si>
    <t>TC_BB_045</t>
  </si>
  <si>
    <t>JavaScript disabled fallback</t>
  </si>
  <si>
    <t>1. DevTools &gt; Settings &gt; Debugger &gt; Disable JavaScript
2. Reload page</t>
  </si>
  <si>
    <t>JS disabled</t>
  </si>
  <si>
    <t>Some fallback message shown rather than fully blank page (document actual behavior)</t>
  </si>
  <si>
    <t>TC_BB_046</t>
  </si>
  <si>
    <t>Zooming in browser (150%, 200%)</t>
  </si>
  <si>
    <t>1. Ctrl/Cmd + Plus to zoom to 150%, then 200%</t>
  </si>
  <si>
    <t>150%, 200% zoom</t>
  </si>
  <si>
    <t>Layout adapts without overlapping text or unusable buttons</t>
  </si>
  <si>
    <t>TC_BB_047</t>
  </si>
  <si>
    <t>SEO/Meta</t>
  </si>
  <si>
    <t>Page title and meta description present per route</t>
  </si>
  <si>
    <t>1. View Page Source (Ctrl+U) on each route
2. Check &lt;title&gt; and &lt;meta name='description'&gt;</t>
  </si>
  <si>
    <t>All routes</t>
  </si>
  <si>
    <t>Every page has unique descriptive title and meta description, not defaults</t>
  </si>
  <si>
    <t>TC_BB_048</t>
  </si>
  <si>
    <t>Open Graph tags for link previews</t>
  </si>
  <si>
    <t>1. View Page Source, search 'og:title', 'og:description', 'og:image'
2. Optionally test via Facebook Sharing Debugger/LinkedIn Post Inspector</t>
  </si>
  <si>
    <t>All OG tags present and populated; link preview renders correctly when shared</t>
  </si>
  <si>
    <t>TC_BB_049</t>
  </si>
  <si>
    <t>Security</t>
  </si>
  <si>
    <t>No sensitive data exposed in client-side bundle</t>
  </si>
  <si>
    <t>1. DevTools &gt; Sources &gt; open main JS bundle
2. Search for 'key', 'secret', 'token', 'password', 'api_key'</t>
  </si>
  <si>
    <t>No sensitive credentials/keys found in publicly downloadable bundle</t>
  </si>
  <si>
    <t>TC_BB_050</t>
  </si>
  <si>
    <t>Input sanitization on any free-text field</t>
  </si>
  <si>
    <t>1. Enter &lt;script&gt;alert(1)&lt;/script&gt; into any text input
2. Observe how it's rendered back</t>
  </si>
  <si>
    <t>XSS test string</t>
  </si>
  <si>
    <t>Text rendered as plain visible text, not executed as code. N/A if no free-text fields exist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</si>
</sst>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0.0%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4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0" fontId="5" numFmtId="164" xfId="0" applyAlignment="1" applyBorder="1" applyFont="1" applyNumberFormat="1">
      <alignment shrinkToFit="0" vertical="top" wrapText="1"/>
    </xf>
    <xf borderId="1" fillId="5" fontId="5" numFmtId="0" xfId="0" applyAlignment="1" applyBorder="1" applyFill="1" applyFont="1">
      <alignment readingOrder="0" shrinkToFit="0" vertical="top" wrapText="1"/>
    </xf>
    <xf borderId="1" fillId="5" fontId="5" numFmtId="164" xfId="0" applyAlignment="1" applyBorder="1" applyFill="1" applyFont="1" applyNumberFormat="1">
      <alignment readingOrder="0"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0" fontId="5" numFmtId="164" xfId="0" applyAlignment="1" applyBorder="1" applyFont="1" applyNumberFormat="1">
      <alignment readingOrder="0" shrinkToFit="0" vertical="top" wrapText="1"/>
    </xf>
    <xf borderId="1" fillId="0" fontId="3" numFmtId="165" xfId="0" applyAlignment="1" applyBorder="1" applyFont="1" applyNumberFormat="1">
      <alignment shrinkToFit="0" vertical="bottom" wrapText="0"/>
    </xf>
    <xf borderId="0" fillId="0" fontId="5" numFmtId="0" xfId="0" applyAlignment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usybucketkb.vercel.app/" TargetMode="External"/><Relationship Id="rId2" Type="http://schemas.openxmlformats.org/officeDocument/2006/relationships/hyperlink" Target="https://busybucketkb.vercel.app/" TargetMode="External"/><Relationship Id="rId3" Type="http://schemas.openxmlformats.org/officeDocument/2006/relationships/hyperlink" Target="https://busybucketkb.vercel.app/" TargetMode="External"/><Relationship Id="rId4" Type="http://schemas.openxmlformats.org/officeDocument/2006/relationships/hyperlink" Target="https://busybucketkb.vercel.app/" TargetMode="External"/><Relationship Id="rId5" Type="http://schemas.openxmlformats.org/officeDocument/2006/relationships/hyperlink" Target="https://busybucketkb.vercel.app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0.0"/>
    <col customWidth="1" min="4" max="4" width="28.0"/>
    <col customWidth="1" min="5" max="5" width="22.0"/>
    <col customWidth="1" min="6" max="6" width="32.0"/>
    <col customWidth="1" min="7" max="7" width="20.0"/>
    <col customWidth="1" min="8" max="9" width="10.0"/>
    <col customWidth="1" min="10" max="10" width="8.0"/>
    <col customWidth="1" min="11" max="11" width="10.0"/>
    <col customWidth="1" min="12" max="12" width="14.0"/>
    <col customWidth="1" min="13" max="13" width="12.0"/>
    <col customWidth="1" min="14" max="14" width="16.0"/>
    <col customWidth="1" min="15" max="15" width="20.0"/>
  </cols>
  <sheetData>
    <row r="1" ht="30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20</v>
      </c>
      <c r="O1" s="1" t="s">
        <v>21</v>
      </c>
    </row>
    <row r="2" ht="54.75" customHeight="1">
      <c r="A2" s="5" t="s">
        <v>22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8" t="s">
        <v>33</v>
      </c>
      <c r="I2" s="5" t="s">
        <v>35</v>
      </c>
      <c r="J2" s="5" t="s">
        <v>36</v>
      </c>
      <c r="K2" s="5" t="s">
        <v>37</v>
      </c>
      <c r="L2" s="5" t="s">
        <v>39</v>
      </c>
      <c r="M2" s="10">
        <v>46263.0</v>
      </c>
      <c r="N2" s="5" t="s">
        <v>41</v>
      </c>
      <c r="O2" s="5"/>
    </row>
    <row r="3" ht="54.75" customHeight="1">
      <c r="A3" s="5" t="s">
        <v>42</v>
      </c>
      <c r="B3" s="5" t="s">
        <v>26</v>
      </c>
      <c r="C3" s="5" t="s">
        <v>44</v>
      </c>
      <c r="D3" s="5" t="s">
        <v>45</v>
      </c>
      <c r="E3" s="5" t="s">
        <v>46</v>
      </c>
      <c r="F3" s="5" t="s">
        <v>48</v>
      </c>
      <c r="G3" s="5" t="s">
        <v>50</v>
      </c>
      <c r="H3" s="8" t="s">
        <v>33</v>
      </c>
      <c r="I3" s="5" t="s">
        <v>35</v>
      </c>
      <c r="J3" s="5" t="s">
        <v>36</v>
      </c>
      <c r="K3" s="5" t="s">
        <v>37</v>
      </c>
      <c r="L3" s="5" t="s">
        <v>39</v>
      </c>
      <c r="M3" s="10">
        <v>46263.0</v>
      </c>
      <c r="N3" s="5" t="s">
        <v>41</v>
      </c>
      <c r="O3" s="5"/>
    </row>
    <row r="4" ht="54.75" customHeight="1">
      <c r="A4" s="5" t="s">
        <v>56</v>
      </c>
      <c r="B4" s="5" t="s">
        <v>26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8" t="s">
        <v>33</v>
      </c>
      <c r="I4" s="5" t="s">
        <v>52</v>
      </c>
      <c r="J4" s="5" t="s">
        <v>53</v>
      </c>
      <c r="K4" s="5" t="s">
        <v>37</v>
      </c>
      <c r="L4" s="5" t="s">
        <v>39</v>
      </c>
      <c r="M4" s="10">
        <v>46263.0</v>
      </c>
      <c r="N4" s="5" t="s">
        <v>41</v>
      </c>
      <c r="O4" s="5"/>
    </row>
    <row r="5" ht="54.75" customHeight="1">
      <c r="A5" s="5" t="s">
        <v>62</v>
      </c>
      <c r="B5" s="5" t="s">
        <v>26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8" t="s">
        <v>33</v>
      </c>
      <c r="I5" s="5" t="s">
        <v>52</v>
      </c>
      <c r="J5" s="5" t="s">
        <v>53</v>
      </c>
      <c r="K5" s="5" t="s">
        <v>37</v>
      </c>
      <c r="L5" s="5" t="s">
        <v>39</v>
      </c>
      <c r="M5" s="10">
        <v>46263.0</v>
      </c>
      <c r="N5" s="5" t="s">
        <v>41</v>
      </c>
      <c r="O5" s="5"/>
    </row>
    <row r="6" ht="54.75" customHeight="1">
      <c r="A6" s="5" t="s">
        <v>69</v>
      </c>
      <c r="B6" s="5" t="s">
        <v>26</v>
      </c>
      <c r="C6" s="5" t="s">
        <v>71</v>
      </c>
      <c r="D6" s="5" t="s">
        <v>72</v>
      </c>
      <c r="E6" s="5" t="s">
        <v>74</v>
      </c>
      <c r="F6" s="5" t="s">
        <v>76</v>
      </c>
      <c r="G6" s="8" t="s">
        <v>79</v>
      </c>
      <c r="H6" s="8" t="s">
        <v>33</v>
      </c>
      <c r="I6" s="5" t="s">
        <v>80</v>
      </c>
      <c r="J6" s="5" t="s">
        <v>53</v>
      </c>
      <c r="K6" s="5" t="s">
        <v>37</v>
      </c>
      <c r="L6" s="5" t="s">
        <v>39</v>
      </c>
      <c r="M6" s="14">
        <v>46263.0</v>
      </c>
      <c r="N6" s="8" t="s">
        <v>41</v>
      </c>
      <c r="O6" s="8"/>
    </row>
    <row r="7" ht="54.75" customHeight="1">
      <c r="A7" s="5" t="s">
        <v>83</v>
      </c>
      <c r="B7" s="5" t="s">
        <v>26</v>
      </c>
      <c r="C7" s="5" t="s">
        <v>85</v>
      </c>
      <c r="D7" s="5" t="s">
        <v>87</v>
      </c>
      <c r="E7" s="5" t="s">
        <v>74</v>
      </c>
      <c r="F7" s="5" t="s">
        <v>90</v>
      </c>
      <c r="G7" s="8" t="s">
        <v>91</v>
      </c>
      <c r="H7" s="8" t="s">
        <v>33</v>
      </c>
      <c r="I7" s="5" t="s">
        <v>93</v>
      </c>
      <c r="J7" s="5" t="s">
        <v>94</v>
      </c>
      <c r="K7" s="5" t="s">
        <v>37</v>
      </c>
      <c r="L7" s="5" t="s">
        <v>39</v>
      </c>
      <c r="M7" s="14">
        <v>46263.0</v>
      </c>
      <c r="N7" s="8" t="s">
        <v>41</v>
      </c>
      <c r="O7" s="8"/>
    </row>
    <row r="8" ht="54.75" customHeight="1">
      <c r="A8" s="5" t="s">
        <v>96</v>
      </c>
      <c r="B8" s="5" t="s">
        <v>26</v>
      </c>
      <c r="C8" s="5" t="s">
        <v>99</v>
      </c>
      <c r="D8" s="5" t="s">
        <v>100</v>
      </c>
      <c r="E8" s="5" t="s">
        <v>103</v>
      </c>
      <c r="F8" s="5" t="s">
        <v>104</v>
      </c>
      <c r="G8" s="8" t="s">
        <v>107</v>
      </c>
      <c r="H8" s="8" t="s">
        <v>74</v>
      </c>
      <c r="I8" s="5" t="s">
        <v>35</v>
      </c>
      <c r="J8" s="5" t="s">
        <v>36</v>
      </c>
      <c r="K8" s="5" t="s">
        <v>37</v>
      </c>
      <c r="L8" s="5" t="s">
        <v>39</v>
      </c>
      <c r="M8" s="14">
        <v>46263.0</v>
      </c>
      <c r="N8" s="8" t="s">
        <v>55</v>
      </c>
      <c r="O8" s="8" t="s">
        <v>108</v>
      </c>
    </row>
    <row r="9" ht="54.75" customHeight="1">
      <c r="A9" s="5" t="s">
        <v>110</v>
      </c>
      <c r="B9" s="5" t="s">
        <v>26</v>
      </c>
      <c r="C9" s="5" t="s">
        <v>113</v>
      </c>
      <c r="D9" s="5" t="s">
        <v>114</v>
      </c>
      <c r="E9" s="5" t="s">
        <v>116</v>
      </c>
      <c r="F9" s="5" t="s">
        <v>118</v>
      </c>
      <c r="G9" s="8" t="s">
        <v>120</v>
      </c>
      <c r="H9" s="8" t="s">
        <v>121</v>
      </c>
      <c r="I9" s="5" t="s">
        <v>35</v>
      </c>
      <c r="J9" s="5" t="s">
        <v>36</v>
      </c>
      <c r="K9" s="8" t="s">
        <v>124</v>
      </c>
      <c r="L9" s="5" t="s">
        <v>39</v>
      </c>
      <c r="M9" s="14">
        <v>46263.0</v>
      </c>
      <c r="N9" s="8" t="s">
        <v>55</v>
      </c>
      <c r="O9" s="8" t="s">
        <v>127</v>
      </c>
    </row>
    <row r="10" ht="54.75" customHeight="1">
      <c r="A10" s="5" t="s">
        <v>128</v>
      </c>
      <c r="B10" s="5" t="s">
        <v>26</v>
      </c>
      <c r="C10" s="5" t="s">
        <v>131</v>
      </c>
      <c r="D10" s="5" t="s">
        <v>132</v>
      </c>
      <c r="E10" s="5" t="s">
        <v>134</v>
      </c>
      <c r="F10" s="5" t="s">
        <v>135</v>
      </c>
      <c r="G10" s="8" t="s">
        <v>136</v>
      </c>
      <c r="H10" s="8" t="s">
        <v>121</v>
      </c>
      <c r="I10" s="5" t="s">
        <v>35</v>
      </c>
      <c r="J10" s="5" t="s">
        <v>36</v>
      </c>
      <c r="K10" s="8" t="s">
        <v>124</v>
      </c>
      <c r="L10" s="5" t="s">
        <v>39</v>
      </c>
      <c r="M10" s="14">
        <v>46263.0</v>
      </c>
      <c r="N10" s="8" t="s">
        <v>55</v>
      </c>
      <c r="O10" s="8" t="s">
        <v>141</v>
      </c>
    </row>
    <row r="11" ht="54.75" customHeight="1">
      <c r="A11" s="5" t="s">
        <v>143</v>
      </c>
      <c r="B11" s="5" t="s">
        <v>26</v>
      </c>
      <c r="C11" s="5" t="s">
        <v>146</v>
      </c>
      <c r="D11" s="5" t="s">
        <v>147</v>
      </c>
      <c r="E11" s="5" t="s">
        <v>148</v>
      </c>
      <c r="F11" s="5" t="s">
        <v>149</v>
      </c>
      <c r="G11" s="8" t="s">
        <v>150</v>
      </c>
      <c r="H11" s="8" t="s">
        <v>33</v>
      </c>
      <c r="I11" s="5" t="s">
        <v>52</v>
      </c>
      <c r="J11" s="5" t="s">
        <v>53</v>
      </c>
      <c r="K11" s="5" t="s">
        <v>37</v>
      </c>
      <c r="L11" s="5" t="s">
        <v>39</v>
      </c>
      <c r="M11" s="14">
        <v>46263.0</v>
      </c>
      <c r="N11" s="8" t="s">
        <v>151</v>
      </c>
      <c r="O11" s="8"/>
    </row>
    <row r="12" ht="54.75" customHeight="1">
      <c r="A12" s="5" t="s">
        <v>152</v>
      </c>
      <c r="B12" s="8" t="s">
        <v>153</v>
      </c>
      <c r="C12" s="8" t="s">
        <v>154</v>
      </c>
      <c r="D12" s="8" t="s">
        <v>155</v>
      </c>
      <c r="E12" s="8" t="s">
        <v>157</v>
      </c>
      <c r="F12" s="8" t="s">
        <v>158</v>
      </c>
      <c r="G12" s="8" t="s">
        <v>159</v>
      </c>
      <c r="H12" s="8" t="s">
        <v>121</v>
      </c>
      <c r="I12" s="8" t="s">
        <v>52</v>
      </c>
      <c r="J12" s="8" t="s">
        <v>53</v>
      </c>
      <c r="K12" s="5" t="s">
        <v>37</v>
      </c>
      <c r="L12" s="5" t="s">
        <v>39</v>
      </c>
      <c r="M12" s="14">
        <v>46264.0</v>
      </c>
      <c r="N12" s="8" t="s">
        <v>160</v>
      </c>
      <c r="O12" s="8" t="s">
        <v>161</v>
      </c>
    </row>
    <row r="13" ht="54.75" customHeight="1">
      <c r="A13" s="5" t="s">
        <v>162</v>
      </c>
      <c r="B13" s="5" t="s">
        <v>26</v>
      </c>
      <c r="C13" s="5" t="s">
        <v>163</v>
      </c>
      <c r="D13" s="5" t="s">
        <v>164</v>
      </c>
      <c r="E13" s="5" t="s">
        <v>165</v>
      </c>
      <c r="F13" s="5" t="s">
        <v>166</v>
      </c>
      <c r="G13" s="8" t="s">
        <v>167</v>
      </c>
      <c r="H13" s="8" t="s">
        <v>33</v>
      </c>
      <c r="I13" s="5" t="s">
        <v>93</v>
      </c>
      <c r="J13" s="5" t="s">
        <v>94</v>
      </c>
      <c r="K13" s="5" t="s">
        <v>37</v>
      </c>
      <c r="L13" s="5" t="s">
        <v>39</v>
      </c>
      <c r="M13" s="14">
        <v>46264.0</v>
      </c>
      <c r="N13" s="8" t="s">
        <v>151</v>
      </c>
      <c r="O13" s="8"/>
    </row>
    <row r="14" ht="54.75" customHeight="1">
      <c r="A14" s="5" t="s">
        <v>168</v>
      </c>
      <c r="B14" s="5" t="s">
        <v>169</v>
      </c>
      <c r="C14" s="5" t="s">
        <v>170</v>
      </c>
      <c r="D14" s="5" t="s">
        <v>171</v>
      </c>
      <c r="E14" s="5" t="s">
        <v>172</v>
      </c>
      <c r="F14" s="5" t="s">
        <v>173</v>
      </c>
      <c r="G14" s="8" t="s">
        <v>174</v>
      </c>
      <c r="H14" s="8" t="s">
        <v>33</v>
      </c>
      <c r="I14" s="5" t="s">
        <v>52</v>
      </c>
      <c r="J14" s="5" t="s">
        <v>53</v>
      </c>
      <c r="K14" s="5" t="s">
        <v>37</v>
      </c>
      <c r="L14" s="5" t="s">
        <v>39</v>
      </c>
      <c r="M14" s="14">
        <v>46264.0</v>
      </c>
      <c r="N14" s="8" t="s">
        <v>151</v>
      </c>
      <c r="O14" s="8"/>
    </row>
    <row r="15" ht="54.75" customHeight="1">
      <c r="A15" s="5" t="s">
        <v>175</v>
      </c>
      <c r="B15" s="5" t="s">
        <v>169</v>
      </c>
      <c r="C15" s="5" t="s">
        <v>176</v>
      </c>
      <c r="D15" s="5" t="s">
        <v>177</v>
      </c>
      <c r="E15" s="5" t="s">
        <v>178</v>
      </c>
      <c r="F15" s="5" t="s">
        <v>179</v>
      </c>
      <c r="G15" s="8" t="s">
        <v>180</v>
      </c>
      <c r="H15" s="8" t="s">
        <v>121</v>
      </c>
      <c r="I15" s="5" t="s">
        <v>35</v>
      </c>
      <c r="J15" s="5" t="s">
        <v>36</v>
      </c>
      <c r="K15" s="5" t="s">
        <v>37</v>
      </c>
      <c r="L15" s="5" t="s">
        <v>39</v>
      </c>
      <c r="M15" s="14">
        <v>46264.0</v>
      </c>
      <c r="N15" s="8" t="s">
        <v>181</v>
      </c>
      <c r="O15" s="8" t="s">
        <v>182</v>
      </c>
    </row>
    <row r="16" ht="54.75" customHeight="1">
      <c r="A16" s="5" t="s">
        <v>183</v>
      </c>
      <c r="B16" s="5" t="s">
        <v>169</v>
      </c>
      <c r="C16" s="5" t="s">
        <v>185</v>
      </c>
      <c r="D16" s="5" t="s">
        <v>186</v>
      </c>
      <c r="E16" s="5" t="s">
        <v>187</v>
      </c>
      <c r="F16" s="5" t="s">
        <v>188</v>
      </c>
      <c r="G16" s="8" t="s">
        <v>189</v>
      </c>
      <c r="H16" s="8" t="s">
        <v>74</v>
      </c>
      <c r="I16" s="5" t="s">
        <v>35</v>
      </c>
      <c r="J16" s="5" t="s">
        <v>36</v>
      </c>
      <c r="K16" s="5" t="s">
        <v>37</v>
      </c>
      <c r="L16" s="5" t="s">
        <v>39</v>
      </c>
      <c r="M16" s="14">
        <v>46264.0</v>
      </c>
      <c r="N16" s="16" t="s">
        <v>181</v>
      </c>
      <c r="O16" s="8" t="s">
        <v>190</v>
      </c>
    </row>
    <row r="17" ht="54.75" customHeight="1">
      <c r="A17" s="5" t="s">
        <v>191</v>
      </c>
      <c r="B17" s="5" t="s">
        <v>169</v>
      </c>
      <c r="C17" s="5" t="s">
        <v>192</v>
      </c>
      <c r="D17" s="5" t="s">
        <v>194</v>
      </c>
      <c r="E17" s="5" t="s">
        <v>195</v>
      </c>
      <c r="F17" s="5" t="s">
        <v>196</v>
      </c>
      <c r="G17" s="8" t="s">
        <v>197</v>
      </c>
      <c r="H17" s="8" t="s">
        <v>121</v>
      </c>
      <c r="I17" s="8" t="s">
        <v>35</v>
      </c>
      <c r="J17" s="8" t="s">
        <v>36</v>
      </c>
      <c r="K17" s="5" t="s">
        <v>37</v>
      </c>
      <c r="L17" s="5" t="s">
        <v>39</v>
      </c>
      <c r="M17" s="14">
        <v>46264.0</v>
      </c>
      <c r="N17" s="8" t="s">
        <v>151</v>
      </c>
      <c r="O17" s="8" t="s">
        <v>198</v>
      </c>
    </row>
    <row r="18" ht="54.75" customHeight="1">
      <c r="A18" s="5" t="s">
        <v>199</v>
      </c>
      <c r="B18" s="5" t="s">
        <v>200</v>
      </c>
      <c r="C18" s="5" t="s">
        <v>201</v>
      </c>
      <c r="D18" s="5" t="s">
        <v>202</v>
      </c>
      <c r="E18" s="5" t="s">
        <v>203</v>
      </c>
      <c r="F18" s="5" t="s">
        <v>204</v>
      </c>
      <c r="G18" s="8" t="s">
        <v>205</v>
      </c>
      <c r="H18" s="8" t="s">
        <v>33</v>
      </c>
      <c r="I18" s="5" t="s">
        <v>35</v>
      </c>
      <c r="J18" s="5" t="s">
        <v>36</v>
      </c>
      <c r="K18" s="5" t="s">
        <v>37</v>
      </c>
      <c r="L18" s="5" t="s">
        <v>39</v>
      </c>
      <c r="M18" s="14">
        <v>46264.0</v>
      </c>
      <c r="N18" s="8" t="s">
        <v>206</v>
      </c>
      <c r="O18" s="5"/>
    </row>
    <row r="19" ht="54.75" customHeight="1">
      <c r="A19" s="5" t="s">
        <v>207</v>
      </c>
      <c r="B19" s="5" t="s">
        <v>200</v>
      </c>
      <c r="C19" s="5" t="s">
        <v>208</v>
      </c>
      <c r="D19" s="5" t="s">
        <v>209</v>
      </c>
      <c r="E19" s="5" t="s">
        <v>210</v>
      </c>
      <c r="F19" s="5" t="s">
        <v>204</v>
      </c>
      <c r="G19" s="8" t="s">
        <v>211</v>
      </c>
      <c r="H19" s="8" t="s">
        <v>33</v>
      </c>
      <c r="I19" s="5" t="s">
        <v>35</v>
      </c>
      <c r="J19" s="5" t="s">
        <v>36</v>
      </c>
      <c r="K19" s="5" t="s">
        <v>37</v>
      </c>
      <c r="L19" s="5" t="s">
        <v>39</v>
      </c>
      <c r="M19" s="14">
        <v>46264.0</v>
      </c>
      <c r="N19" s="8" t="s">
        <v>212</v>
      </c>
      <c r="O19" s="5"/>
    </row>
    <row r="20" ht="54.75" customHeight="1">
      <c r="A20" s="5" t="s">
        <v>213</v>
      </c>
      <c r="B20" s="5" t="s">
        <v>200</v>
      </c>
      <c r="C20" s="5" t="s">
        <v>214</v>
      </c>
      <c r="D20" s="5" t="s">
        <v>215</v>
      </c>
      <c r="E20" s="5" t="s">
        <v>216</v>
      </c>
      <c r="F20" s="5" t="s">
        <v>204</v>
      </c>
      <c r="G20" s="8" t="s">
        <v>217</v>
      </c>
      <c r="H20" s="8" t="s">
        <v>33</v>
      </c>
      <c r="I20" s="5" t="s">
        <v>35</v>
      </c>
      <c r="J20" s="5" t="s">
        <v>36</v>
      </c>
      <c r="K20" s="5" t="s">
        <v>37</v>
      </c>
      <c r="L20" s="5" t="s">
        <v>39</v>
      </c>
      <c r="M20" s="14">
        <v>46264.0</v>
      </c>
      <c r="N20" s="8" t="s">
        <v>218</v>
      </c>
      <c r="O20" s="5"/>
    </row>
    <row r="21" ht="54.75" customHeight="1">
      <c r="A21" s="5" t="s">
        <v>220</v>
      </c>
      <c r="B21" s="5" t="s">
        <v>200</v>
      </c>
      <c r="C21" s="5" t="s">
        <v>221</v>
      </c>
      <c r="D21" s="5" t="s">
        <v>222</v>
      </c>
      <c r="E21" s="5" t="s">
        <v>223</v>
      </c>
      <c r="F21" s="5" t="s">
        <v>204</v>
      </c>
      <c r="G21" s="8" t="s">
        <v>224</v>
      </c>
      <c r="H21" s="8" t="s">
        <v>33</v>
      </c>
      <c r="I21" s="5" t="s">
        <v>35</v>
      </c>
      <c r="J21" s="5" t="s">
        <v>36</v>
      </c>
      <c r="K21" s="5" t="s">
        <v>37</v>
      </c>
      <c r="L21" s="5" t="s">
        <v>39</v>
      </c>
      <c r="M21" s="14">
        <v>46264.0</v>
      </c>
      <c r="N21" s="8" t="s">
        <v>151</v>
      </c>
      <c r="O21" s="5"/>
    </row>
    <row r="22" ht="54.75" customHeight="1">
      <c r="A22" s="5" t="s">
        <v>225</v>
      </c>
      <c r="B22" s="5" t="s">
        <v>200</v>
      </c>
      <c r="C22" s="5" t="s">
        <v>226</v>
      </c>
      <c r="D22" s="5" t="s">
        <v>227</v>
      </c>
      <c r="E22" s="5" t="s">
        <v>228</v>
      </c>
      <c r="F22" s="5" t="s">
        <v>229</v>
      </c>
      <c r="G22" s="8" t="s">
        <v>230</v>
      </c>
      <c r="H22" s="8" t="s">
        <v>33</v>
      </c>
      <c r="I22" s="5" t="s">
        <v>93</v>
      </c>
      <c r="J22" s="5" t="s">
        <v>94</v>
      </c>
      <c r="K22" s="5" t="s">
        <v>37</v>
      </c>
      <c r="L22" s="5" t="s">
        <v>39</v>
      </c>
      <c r="M22" s="14">
        <v>46264.0</v>
      </c>
      <c r="N22" s="8" t="s">
        <v>231</v>
      </c>
      <c r="O22" s="5"/>
    </row>
    <row r="23" ht="54.75" customHeight="1">
      <c r="A23" s="5" t="s">
        <v>232</v>
      </c>
      <c r="B23" s="5" t="s">
        <v>200</v>
      </c>
      <c r="C23" s="5" t="s">
        <v>233</v>
      </c>
      <c r="D23" s="5" t="s">
        <v>234</v>
      </c>
      <c r="E23" s="5" t="s">
        <v>74</v>
      </c>
      <c r="F23" s="5" t="s">
        <v>235</v>
      </c>
      <c r="G23" s="8" t="s">
        <v>236</v>
      </c>
      <c r="H23" s="8" t="s">
        <v>121</v>
      </c>
      <c r="I23" s="5" t="s">
        <v>35</v>
      </c>
      <c r="J23" s="5" t="s">
        <v>36</v>
      </c>
      <c r="K23" s="8" t="s">
        <v>237</v>
      </c>
      <c r="L23" s="5" t="s">
        <v>39</v>
      </c>
      <c r="M23" s="14">
        <v>46264.0</v>
      </c>
      <c r="N23" s="17" t="s">
        <v>238</v>
      </c>
      <c r="O23" s="8" t="s">
        <v>239</v>
      </c>
    </row>
    <row r="24" ht="54.75" customHeight="1">
      <c r="A24" s="5" t="s">
        <v>240</v>
      </c>
      <c r="B24" s="5" t="s">
        <v>200</v>
      </c>
      <c r="C24" s="5" t="s">
        <v>241</v>
      </c>
      <c r="D24" s="5" t="s">
        <v>242</v>
      </c>
      <c r="E24" s="5" t="s">
        <v>74</v>
      </c>
      <c r="F24" s="5" t="s">
        <v>243</v>
      </c>
      <c r="G24" s="8" t="s">
        <v>244</v>
      </c>
      <c r="H24" s="8" t="s">
        <v>33</v>
      </c>
      <c r="I24" s="5" t="s">
        <v>52</v>
      </c>
      <c r="J24" s="5" t="s">
        <v>53</v>
      </c>
      <c r="K24" s="5" t="s">
        <v>37</v>
      </c>
      <c r="L24" s="5" t="s">
        <v>39</v>
      </c>
      <c r="M24" s="14">
        <v>46264.0</v>
      </c>
      <c r="N24" s="14">
        <v>46265.0</v>
      </c>
      <c r="O24" s="5"/>
    </row>
    <row r="25" ht="54.75" customHeight="1">
      <c r="A25" s="5" t="s">
        <v>245</v>
      </c>
      <c r="B25" s="5" t="s">
        <v>200</v>
      </c>
      <c r="C25" s="5" t="s">
        <v>246</v>
      </c>
      <c r="D25" s="5" t="s">
        <v>247</v>
      </c>
      <c r="E25" s="5" t="s">
        <v>74</v>
      </c>
      <c r="F25" s="5" t="s">
        <v>248</v>
      </c>
      <c r="G25" s="8" t="s">
        <v>249</v>
      </c>
      <c r="H25" s="8" t="s">
        <v>33</v>
      </c>
      <c r="I25" s="5" t="s">
        <v>35</v>
      </c>
      <c r="J25" s="5" t="s">
        <v>36</v>
      </c>
      <c r="K25" s="5" t="s">
        <v>37</v>
      </c>
      <c r="L25" s="5" t="s">
        <v>39</v>
      </c>
      <c r="M25" s="14">
        <v>46264.0</v>
      </c>
      <c r="N25" s="8" t="s">
        <v>181</v>
      </c>
      <c r="O25" s="5"/>
    </row>
    <row r="26" ht="54.75" customHeight="1">
      <c r="A26" s="5" t="s">
        <v>250</v>
      </c>
      <c r="B26" s="5" t="s">
        <v>200</v>
      </c>
      <c r="C26" s="5" t="s">
        <v>251</v>
      </c>
      <c r="D26" s="5" t="s">
        <v>252</v>
      </c>
      <c r="E26" s="5" t="s">
        <v>253</v>
      </c>
      <c r="F26" s="5" t="s">
        <v>254</v>
      </c>
      <c r="G26" s="8" t="s">
        <v>255</v>
      </c>
      <c r="H26" s="8" t="s">
        <v>33</v>
      </c>
      <c r="I26" s="5" t="s">
        <v>93</v>
      </c>
      <c r="J26" s="5" t="s">
        <v>94</v>
      </c>
      <c r="K26" s="5" t="s">
        <v>37</v>
      </c>
      <c r="L26" s="5" t="s">
        <v>39</v>
      </c>
      <c r="M26" s="14">
        <v>46264.0</v>
      </c>
      <c r="N26" s="8" t="s">
        <v>256</v>
      </c>
      <c r="O26" s="5"/>
    </row>
    <row r="27" ht="54.75" customHeight="1">
      <c r="A27" s="5" t="s">
        <v>257</v>
      </c>
      <c r="B27" s="5" t="s">
        <v>200</v>
      </c>
      <c r="C27" s="5" t="s">
        <v>258</v>
      </c>
      <c r="D27" s="5" t="s">
        <v>259</v>
      </c>
      <c r="E27" s="5" t="s">
        <v>74</v>
      </c>
      <c r="F27" s="5" t="s">
        <v>260</v>
      </c>
      <c r="G27" s="8" t="s">
        <v>261</v>
      </c>
      <c r="H27" s="8" t="s">
        <v>33</v>
      </c>
      <c r="I27" s="5" t="s">
        <v>93</v>
      </c>
      <c r="J27" s="5" t="s">
        <v>94</v>
      </c>
      <c r="K27" s="5" t="s">
        <v>37</v>
      </c>
      <c r="L27" s="5" t="s">
        <v>39</v>
      </c>
      <c r="M27" s="14">
        <v>46264.0</v>
      </c>
      <c r="N27" s="8" t="s">
        <v>181</v>
      </c>
      <c r="O27" s="5"/>
    </row>
    <row r="28" ht="54.75" customHeight="1">
      <c r="A28" s="5" t="s">
        <v>262</v>
      </c>
      <c r="B28" s="5" t="s">
        <v>200</v>
      </c>
      <c r="C28" s="5" t="s">
        <v>263</v>
      </c>
      <c r="D28" s="5" t="s">
        <v>264</v>
      </c>
      <c r="E28" s="5" t="s">
        <v>74</v>
      </c>
      <c r="F28" s="5" t="s">
        <v>265</v>
      </c>
      <c r="G28" s="8" t="s">
        <v>266</v>
      </c>
      <c r="H28" s="8" t="s">
        <v>33</v>
      </c>
      <c r="I28" s="5" t="s">
        <v>35</v>
      </c>
      <c r="J28" s="5" t="s">
        <v>36</v>
      </c>
      <c r="K28" s="5" t="s">
        <v>37</v>
      </c>
      <c r="L28" s="5" t="s">
        <v>39</v>
      </c>
      <c r="M28" s="14">
        <v>46264.0</v>
      </c>
      <c r="N28" s="8" t="s">
        <v>181</v>
      </c>
      <c r="O28" s="5"/>
    </row>
    <row r="29" ht="54.75" customHeight="1">
      <c r="A29" s="5" t="s">
        <v>267</v>
      </c>
      <c r="B29" s="5" t="s">
        <v>268</v>
      </c>
      <c r="C29" s="5" t="s">
        <v>269</v>
      </c>
      <c r="D29" s="5" t="s">
        <v>270</v>
      </c>
      <c r="E29" s="5" t="s">
        <v>271</v>
      </c>
      <c r="F29" s="5" t="s">
        <v>272</v>
      </c>
      <c r="G29" s="5"/>
      <c r="H29" s="5" t="s">
        <v>139</v>
      </c>
      <c r="I29" s="5" t="s">
        <v>52</v>
      </c>
      <c r="J29" s="5" t="s">
        <v>53</v>
      </c>
      <c r="K29" s="5" t="s">
        <v>37</v>
      </c>
      <c r="L29" s="5" t="s">
        <v>39</v>
      </c>
      <c r="M29" s="5"/>
      <c r="N29" s="5"/>
      <c r="O29" s="5"/>
    </row>
    <row r="30" ht="54.75" customHeight="1">
      <c r="A30" s="5" t="s">
        <v>273</v>
      </c>
      <c r="B30" s="5" t="s">
        <v>268</v>
      </c>
      <c r="C30" s="5" t="s">
        <v>274</v>
      </c>
      <c r="D30" s="5" t="s">
        <v>275</v>
      </c>
      <c r="E30" s="5" t="s">
        <v>276</v>
      </c>
      <c r="F30" s="5" t="s">
        <v>277</v>
      </c>
      <c r="G30" s="5"/>
      <c r="H30" s="5" t="s">
        <v>139</v>
      </c>
      <c r="I30" s="5" t="s">
        <v>52</v>
      </c>
      <c r="J30" s="5" t="s">
        <v>53</v>
      </c>
      <c r="K30" s="5" t="s">
        <v>37</v>
      </c>
      <c r="L30" s="5" t="s">
        <v>39</v>
      </c>
      <c r="M30" s="5"/>
      <c r="N30" s="5"/>
      <c r="O30" s="5"/>
    </row>
    <row r="31" ht="54.75" customHeight="1">
      <c r="A31" s="5" t="s">
        <v>278</v>
      </c>
      <c r="B31" s="5" t="s">
        <v>268</v>
      </c>
      <c r="C31" s="5" t="s">
        <v>279</v>
      </c>
      <c r="D31" s="5" t="s">
        <v>280</v>
      </c>
      <c r="E31" s="5" t="s">
        <v>281</v>
      </c>
      <c r="F31" s="5" t="s">
        <v>282</v>
      </c>
      <c r="G31" s="5"/>
      <c r="H31" s="5" t="s">
        <v>139</v>
      </c>
      <c r="I31" s="5" t="s">
        <v>52</v>
      </c>
      <c r="J31" s="5" t="s">
        <v>53</v>
      </c>
      <c r="K31" s="5" t="s">
        <v>37</v>
      </c>
      <c r="L31" s="5" t="s">
        <v>39</v>
      </c>
      <c r="M31" s="5"/>
      <c r="N31" s="5"/>
      <c r="O31" s="5"/>
    </row>
    <row r="32" ht="54.75" customHeight="1">
      <c r="A32" s="5" t="s">
        <v>283</v>
      </c>
      <c r="B32" s="5" t="s">
        <v>268</v>
      </c>
      <c r="C32" s="5" t="s">
        <v>284</v>
      </c>
      <c r="D32" s="5" t="s">
        <v>285</v>
      </c>
      <c r="E32" s="5" t="s">
        <v>286</v>
      </c>
      <c r="F32" s="5" t="s">
        <v>287</v>
      </c>
      <c r="G32" s="5"/>
      <c r="H32" s="5" t="s">
        <v>139</v>
      </c>
      <c r="I32" s="5" t="s">
        <v>93</v>
      </c>
      <c r="J32" s="5" t="s">
        <v>94</v>
      </c>
      <c r="K32" s="5" t="s">
        <v>37</v>
      </c>
      <c r="L32" s="5" t="s">
        <v>39</v>
      </c>
      <c r="M32" s="5"/>
      <c r="N32" s="5"/>
      <c r="O32" s="5"/>
    </row>
    <row r="33" ht="54.75" customHeight="1">
      <c r="A33" s="5" t="s">
        <v>288</v>
      </c>
      <c r="B33" s="5" t="s">
        <v>289</v>
      </c>
      <c r="C33" s="5" t="s">
        <v>290</v>
      </c>
      <c r="D33" s="5" t="s">
        <v>291</v>
      </c>
      <c r="E33" s="5" t="s">
        <v>292</v>
      </c>
      <c r="F33" s="5" t="s">
        <v>293</v>
      </c>
      <c r="G33" s="5"/>
      <c r="H33" s="5" t="s">
        <v>139</v>
      </c>
      <c r="I33" s="5" t="s">
        <v>35</v>
      </c>
      <c r="J33" s="5" t="s">
        <v>36</v>
      </c>
      <c r="K33" s="5" t="s">
        <v>37</v>
      </c>
      <c r="L33" s="5" t="s">
        <v>39</v>
      </c>
      <c r="M33" s="5"/>
      <c r="N33" s="5"/>
      <c r="O33" s="5"/>
    </row>
    <row r="34" ht="54.75" customHeight="1">
      <c r="A34" s="5" t="s">
        <v>294</v>
      </c>
      <c r="B34" s="5" t="s">
        <v>289</v>
      </c>
      <c r="C34" s="5" t="s">
        <v>295</v>
      </c>
      <c r="D34" s="5" t="s">
        <v>296</v>
      </c>
      <c r="E34" s="5" t="s">
        <v>292</v>
      </c>
      <c r="F34" s="5" t="s">
        <v>297</v>
      </c>
      <c r="G34" s="5"/>
      <c r="H34" s="5" t="s">
        <v>139</v>
      </c>
      <c r="I34" s="5" t="s">
        <v>93</v>
      </c>
      <c r="J34" s="5" t="s">
        <v>94</v>
      </c>
      <c r="K34" s="5" t="s">
        <v>37</v>
      </c>
      <c r="L34" s="5" t="s">
        <v>39</v>
      </c>
      <c r="M34" s="5"/>
      <c r="N34" s="5"/>
      <c r="O34" s="5"/>
    </row>
    <row r="35" ht="54.75" customHeight="1">
      <c r="A35" s="5" t="s">
        <v>298</v>
      </c>
      <c r="B35" s="5" t="s">
        <v>289</v>
      </c>
      <c r="C35" s="5" t="s">
        <v>299</v>
      </c>
      <c r="D35" s="5" t="s">
        <v>300</v>
      </c>
      <c r="E35" s="5" t="s">
        <v>74</v>
      </c>
      <c r="F35" s="5" t="s">
        <v>301</v>
      </c>
      <c r="G35" s="5"/>
      <c r="H35" s="5" t="s">
        <v>139</v>
      </c>
      <c r="I35" s="5" t="s">
        <v>35</v>
      </c>
      <c r="J35" s="5" t="s">
        <v>36</v>
      </c>
      <c r="K35" s="5" t="s">
        <v>37</v>
      </c>
      <c r="L35" s="5" t="s">
        <v>39</v>
      </c>
      <c r="M35" s="5"/>
      <c r="N35" s="5"/>
      <c r="O35" s="5"/>
    </row>
    <row r="36" ht="54.75" customHeight="1">
      <c r="A36" s="5" t="s">
        <v>302</v>
      </c>
      <c r="B36" s="5" t="s">
        <v>289</v>
      </c>
      <c r="C36" s="5" t="s">
        <v>303</v>
      </c>
      <c r="D36" s="5" t="s">
        <v>304</v>
      </c>
      <c r="E36" s="5" t="s">
        <v>292</v>
      </c>
      <c r="F36" s="5" t="s">
        <v>305</v>
      </c>
      <c r="G36" s="5"/>
      <c r="H36" s="5" t="s">
        <v>139</v>
      </c>
      <c r="I36" s="5" t="s">
        <v>93</v>
      </c>
      <c r="J36" s="5" t="s">
        <v>94</v>
      </c>
      <c r="K36" s="5" t="s">
        <v>37</v>
      </c>
      <c r="L36" s="5" t="s">
        <v>39</v>
      </c>
      <c r="M36" s="5"/>
      <c r="N36" s="5"/>
      <c r="O36" s="5"/>
    </row>
    <row r="37" ht="54.75" customHeight="1">
      <c r="A37" s="5" t="s">
        <v>306</v>
      </c>
      <c r="B37" s="5" t="s">
        <v>86</v>
      </c>
      <c r="C37" s="5" t="s">
        <v>307</v>
      </c>
      <c r="D37" s="5" t="s">
        <v>308</v>
      </c>
      <c r="E37" s="5" t="s">
        <v>309</v>
      </c>
      <c r="F37" s="5" t="s">
        <v>310</v>
      </c>
      <c r="G37" s="5"/>
      <c r="H37" s="5" t="s">
        <v>139</v>
      </c>
      <c r="I37" s="5" t="s">
        <v>52</v>
      </c>
      <c r="J37" s="5" t="s">
        <v>53</v>
      </c>
      <c r="K37" s="5" t="s">
        <v>37</v>
      </c>
      <c r="L37" s="5" t="s">
        <v>39</v>
      </c>
      <c r="M37" s="5"/>
      <c r="N37" s="5"/>
      <c r="O37" s="5"/>
    </row>
    <row r="38" ht="54.75" customHeight="1">
      <c r="A38" s="5" t="s">
        <v>311</v>
      </c>
      <c r="B38" s="5" t="s">
        <v>86</v>
      </c>
      <c r="C38" s="5" t="s">
        <v>312</v>
      </c>
      <c r="D38" s="5" t="s">
        <v>313</v>
      </c>
      <c r="E38" s="5" t="s">
        <v>74</v>
      </c>
      <c r="F38" s="5" t="s">
        <v>314</v>
      </c>
      <c r="G38" s="8" t="s">
        <v>315</v>
      </c>
      <c r="H38" s="8" t="s">
        <v>121</v>
      </c>
      <c r="I38" s="5" t="s">
        <v>35</v>
      </c>
      <c r="J38" s="5" t="s">
        <v>36</v>
      </c>
      <c r="K38" s="8" t="s">
        <v>237</v>
      </c>
      <c r="L38" s="5" t="s">
        <v>39</v>
      </c>
      <c r="M38" s="14">
        <v>46264.0</v>
      </c>
      <c r="N38" s="17" t="s">
        <v>316</v>
      </c>
      <c r="O38" s="8" t="s">
        <v>317</v>
      </c>
    </row>
    <row r="39" ht="54.75" customHeight="1">
      <c r="A39" s="5" t="s">
        <v>318</v>
      </c>
      <c r="B39" s="5" t="s">
        <v>86</v>
      </c>
      <c r="C39" s="5" t="s">
        <v>319</v>
      </c>
      <c r="D39" s="5" t="s">
        <v>320</v>
      </c>
      <c r="E39" s="5" t="s">
        <v>74</v>
      </c>
      <c r="F39" s="5" t="s">
        <v>321</v>
      </c>
      <c r="G39" s="8" t="s">
        <v>236</v>
      </c>
      <c r="H39" s="5" t="s">
        <v>139</v>
      </c>
      <c r="I39" s="5" t="s">
        <v>35</v>
      </c>
      <c r="J39" s="5" t="s">
        <v>36</v>
      </c>
      <c r="K39" s="5" t="s">
        <v>37</v>
      </c>
      <c r="L39" s="5" t="s">
        <v>39</v>
      </c>
      <c r="M39" s="14">
        <v>46264.0</v>
      </c>
      <c r="N39" s="8" t="s">
        <v>322</v>
      </c>
      <c r="O39" s="8" t="s">
        <v>239</v>
      </c>
    </row>
    <row r="40" ht="54.75" customHeight="1">
      <c r="A40" s="5" t="s">
        <v>323</v>
      </c>
      <c r="B40" s="5" t="s">
        <v>86</v>
      </c>
      <c r="C40" s="5" t="s">
        <v>324</v>
      </c>
      <c r="D40" s="5" t="s">
        <v>325</v>
      </c>
      <c r="E40" s="5" t="s">
        <v>326</v>
      </c>
      <c r="F40" s="5" t="s">
        <v>327</v>
      </c>
      <c r="G40" s="5"/>
      <c r="H40" s="5" t="s">
        <v>139</v>
      </c>
      <c r="I40" s="5" t="s">
        <v>35</v>
      </c>
      <c r="J40" s="5" t="s">
        <v>36</v>
      </c>
      <c r="K40" s="5" t="s">
        <v>37</v>
      </c>
      <c r="L40" s="5" t="s">
        <v>39</v>
      </c>
      <c r="M40" s="5"/>
      <c r="N40" s="5"/>
      <c r="O40" s="5"/>
    </row>
    <row r="41" ht="54.75" customHeight="1">
      <c r="A41" s="5" t="s">
        <v>328</v>
      </c>
      <c r="B41" s="5" t="s">
        <v>86</v>
      </c>
      <c r="C41" s="5" t="s">
        <v>329</v>
      </c>
      <c r="D41" s="5" t="s">
        <v>330</v>
      </c>
      <c r="E41" s="5" t="s">
        <v>74</v>
      </c>
      <c r="F41" s="5" t="s">
        <v>331</v>
      </c>
      <c r="G41" s="5"/>
      <c r="H41" s="5" t="s">
        <v>139</v>
      </c>
      <c r="I41" s="5" t="s">
        <v>93</v>
      </c>
      <c r="J41" s="5" t="s">
        <v>94</v>
      </c>
      <c r="K41" s="5" t="s">
        <v>37</v>
      </c>
      <c r="L41" s="5" t="s">
        <v>39</v>
      </c>
      <c r="M41" s="5"/>
      <c r="N41" s="5"/>
      <c r="O41" s="5"/>
    </row>
    <row r="42" ht="54.75" customHeight="1">
      <c r="A42" s="5" t="s">
        <v>332</v>
      </c>
      <c r="B42" s="5" t="s">
        <v>112</v>
      </c>
      <c r="C42" s="5" t="s">
        <v>333</v>
      </c>
      <c r="D42" s="5" t="s">
        <v>334</v>
      </c>
      <c r="E42" s="5" t="s">
        <v>335</v>
      </c>
      <c r="F42" s="5" t="s">
        <v>336</v>
      </c>
      <c r="G42" s="8" t="s">
        <v>337</v>
      </c>
      <c r="H42" s="8" t="s">
        <v>121</v>
      </c>
      <c r="I42" s="5" t="s">
        <v>35</v>
      </c>
      <c r="J42" s="5" t="s">
        <v>36</v>
      </c>
      <c r="K42" s="8" t="s">
        <v>237</v>
      </c>
      <c r="L42" s="5" t="s">
        <v>39</v>
      </c>
      <c r="M42" s="14">
        <v>46264.0</v>
      </c>
      <c r="N42" s="17" t="s">
        <v>338</v>
      </c>
      <c r="O42" s="8" t="s">
        <v>339</v>
      </c>
    </row>
    <row r="43" ht="54.75" customHeight="1">
      <c r="A43" s="5" t="s">
        <v>340</v>
      </c>
      <c r="B43" s="5" t="s">
        <v>112</v>
      </c>
      <c r="C43" s="5" t="s">
        <v>341</v>
      </c>
      <c r="D43" s="5" t="s">
        <v>342</v>
      </c>
      <c r="E43" s="5" t="s">
        <v>343</v>
      </c>
      <c r="F43" s="5" t="s">
        <v>344</v>
      </c>
      <c r="G43" s="8" t="s">
        <v>345</v>
      </c>
      <c r="H43" s="8" t="s">
        <v>121</v>
      </c>
      <c r="I43" s="5" t="s">
        <v>35</v>
      </c>
      <c r="J43" s="5" t="s">
        <v>36</v>
      </c>
      <c r="K43" s="8" t="s">
        <v>237</v>
      </c>
      <c r="L43" s="5" t="s">
        <v>39</v>
      </c>
      <c r="M43" s="14">
        <v>46264.0</v>
      </c>
      <c r="N43" s="17" t="s">
        <v>346</v>
      </c>
      <c r="O43" s="8" t="s">
        <v>347</v>
      </c>
    </row>
    <row r="44" ht="54.75" customHeight="1">
      <c r="A44" s="5" t="s">
        <v>348</v>
      </c>
      <c r="B44" s="5" t="s">
        <v>112</v>
      </c>
      <c r="C44" s="5" t="s">
        <v>349</v>
      </c>
      <c r="D44" s="5" t="s">
        <v>350</v>
      </c>
      <c r="E44" s="5" t="s">
        <v>74</v>
      </c>
      <c r="F44" s="5" t="s">
        <v>351</v>
      </c>
      <c r="G44" s="8" t="s">
        <v>352</v>
      </c>
      <c r="H44" s="8" t="s">
        <v>121</v>
      </c>
      <c r="I44" s="5" t="s">
        <v>52</v>
      </c>
      <c r="J44" s="5" t="s">
        <v>53</v>
      </c>
      <c r="K44" s="8" t="s">
        <v>237</v>
      </c>
      <c r="L44" s="5" t="s">
        <v>39</v>
      </c>
      <c r="M44" s="14">
        <v>46264.0</v>
      </c>
      <c r="N44" s="17" t="s">
        <v>353</v>
      </c>
      <c r="O44" s="8" t="s">
        <v>354</v>
      </c>
    </row>
    <row r="45" ht="54.75" customHeight="1">
      <c r="A45" s="5" t="s">
        <v>355</v>
      </c>
      <c r="B45" s="5" t="s">
        <v>112</v>
      </c>
      <c r="C45" s="5" t="s">
        <v>356</v>
      </c>
      <c r="D45" s="5" t="s">
        <v>357</v>
      </c>
      <c r="E45" s="5" t="s">
        <v>74</v>
      </c>
      <c r="F45" s="5" t="s">
        <v>358</v>
      </c>
      <c r="G45" s="5"/>
      <c r="H45" s="5" t="s">
        <v>139</v>
      </c>
      <c r="I45" s="5" t="s">
        <v>93</v>
      </c>
      <c r="J45" s="5" t="s">
        <v>94</v>
      </c>
      <c r="K45" s="5" t="s">
        <v>37</v>
      </c>
      <c r="L45" s="5" t="s">
        <v>39</v>
      </c>
      <c r="M45" s="5"/>
      <c r="N45" s="5"/>
      <c r="O45" s="5"/>
    </row>
    <row r="46" ht="54.75" customHeight="1">
      <c r="A46" s="5" t="s">
        <v>359</v>
      </c>
      <c r="B46" s="5" t="s">
        <v>112</v>
      </c>
      <c r="C46" s="5" t="s">
        <v>360</v>
      </c>
      <c r="D46" s="5" t="s">
        <v>361</v>
      </c>
      <c r="E46" s="5" t="s">
        <v>362</v>
      </c>
      <c r="F46" s="5" t="s">
        <v>363</v>
      </c>
      <c r="G46" s="5"/>
      <c r="H46" s="5" t="s">
        <v>139</v>
      </c>
      <c r="I46" s="5" t="s">
        <v>93</v>
      </c>
      <c r="J46" s="5" t="s">
        <v>94</v>
      </c>
      <c r="K46" s="5" t="s">
        <v>37</v>
      </c>
      <c r="L46" s="5" t="s">
        <v>39</v>
      </c>
      <c r="M46" s="5"/>
      <c r="N46" s="5"/>
      <c r="O46" s="5"/>
    </row>
    <row r="47" ht="54.75" customHeight="1">
      <c r="A47" s="5" t="s">
        <v>364</v>
      </c>
      <c r="B47" s="5" t="s">
        <v>112</v>
      </c>
      <c r="C47" s="5" t="s">
        <v>365</v>
      </c>
      <c r="D47" s="5" t="s">
        <v>366</v>
      </c>
      <c r="E47" s="5" t="s">
        <v>367</v>
      </c>
      <c r="F47" s="5" t="s">
        <v>368</v>
      </c>
      <c r="G47" s="5"/>
      <c r="H47" s="5" t="s">
        <v>139</v>
      </c>
      <c r="I47" s="5" t="s">
        <v>93</v>
      </c>
      <c r="J47" s="5" t="s">
        <v>94</v>
      </c>
      <c r="K47" s="5" t="s">
        <v>37</v>
      </c>
      <c r="L47" s="5" t="s">
        <v>39</v>
      </c>
      <c r="M47" s="5"/>
      <c r="N47" s="5"/>
      <c r="O47" s="5"/>
    </row>
    <row r="48" ht="54.75" customHeight="1">
      <c r="A48" s="5" t="s">
        <v>369</v>
      </c>
      <c r="B48" s="5" t="s">
        <v>370</v>
      </c>
      <c r="C48" s="5" t="s">
        <v>371</v>
      </c>
      <c r="D48" s="5" t="s">
        <v>372</v>
      </c>
      <c r="E48" s="5" t="s">
        <v>373</v>
      </c>
      <c r="F48" s="5" t="s">
        <v>374</v>
      </c>
      <c r="G48" s="5"/>
      <c r="H48" s="5" t="s">
        <v>139</v>
      </c>
      <c r="I48" s="5" t="s">
        <v>93</v>
      </c>
      <c r="J48" s="5" t="s">
        <v>94</v>
      </c>
      <c r="K48" s="5" t="s">
        <v>37</v>
      </c>
      <c r="L48" s="5" t="s">
        <v>39</v>
      </c>
      <c r="M48" s="5"/>
      <c r="N48" s="5"/>
      <c r="O48" s="5"/>
    </row>
    <row r="49" ht="54.75" customHeight="1">
      <c r="A49" s="5" t="s">
        <v>375</v>
      </c>
      <c r="B49" s="5" t="s">
        <v>370</v>
      </c>
      <c r="C49" s="5" t="s">
        <v>376</v>
      </c>
      <c r="D49" s="5" t="s">
        <v>377</v>
      </c>
      <c r="E49" s="5" t="s">
        <v>292</v>
      </c>
      <c r="F49" s="5" t="s">
        <v>378</v>
      </c>
      <c r="G49" s="5"/>
      <c r="H49" s="5" t="s">
        <v>139</v>
      </c>
      <c r="I49" s="5" t="s">
        <v>35</v>
      </c>
      <c r="J49" s="5" t="s">
        <v>36</v>
      </c>
      <c r="K49" s="5" t="s">
        <v>37</v>
      </c>
      <c r="L49" s="5" t="s">
        <v>39</v>
      </c>
      <c r="M49" s="5"/>
      <c r="N49" s="5"/>
      <c r="O49" s="5"/>
    </row>
    <row r="50" ht="54.75" customHeight="1">
      <c r="A50" s="5" t="s">
        <v>379</v>
      </c>
      <c r="B50" s="5" t="s">
        <v>380</v>
      </c>
      <c r="C50" s="5" t="s">
        <v>381</v>
      </c>
      <c r="D50" s="5" t="s">
        <v>382</v>
      </c>
      <c r="E50" s="5" t="s">
        <v>74</v>
      </c>
      <c r="F50" s="5" t="s">
        <v>383</v>
      </c>
      <c r="G50" s="5"/>
      <c r="H50" s="5" t="s">
        <v>139</v>
      </c>
      <c r="I50" s="5" t="s">
        <v>80</v>
      </c>
      <c r="J50" s="5" t="s">
        <v>53</v>
      </c>
      <c r="K50" s="5" t="s">
        <v>37</v>
      </c>
      <c r="L50" s="5" t="s">
        <v>39</v>
      </c>
      <c r="M50" s="5"/>
      <c r="N50" s="5"/>
      <c r="O50" s="5"/>
    </row>
    <row r="51" ht="54.75" customHeight="1">
      <c r="A51" s="5" t="s">
        <v>384</v>
      </c>
      <c r="B51" s="5" t="s">
        <v>380</v>
      </c>
      <c r="C51" s="5" t="s">
        <v>385</v>
      </c>
      <c r="D51" s="5" t="s">
        <v>386</v>
      </c>
      <c r="E51" s="5" t="s">
        <v>387</v>
      </c>
      <c r="F51" s="5" t="s">
        <v>388</v>
      </c>
      <c r="G51" s="5"/>
      <c r="H51" s="5" t="s">
        <v>139</v>
      </c>
      <c r="I51" s="5" t="s">
        <v>52</v>
      </c>
      <c r="J51" s="5" t="s">
        <v>53</v>
      </c>
      <c r="K51" s="5" t="s">
        <v>37</v>
      </c>
      <c r="L51" s="5" t="s">
        <v>39</v>
      </c>
      <c r="M51" s="5"/>
      <c r="N51" s="5"/>
      <c r="O51" s="5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23"/>
    <hyperlink r:id="rId2" ref="N38"/>
    <hyperlink r:id="rId3" ref="N42"/>
    <hyperlink r:id="rId4" ref="N43"/>
    <hyperlink r:id="rId5" ref="N44"/>
  </hyperlinks>
  <printOptions/>
  <pageMargins bottom="1.0" footer="0.0" header="0.0" left="0.75" right="0.75" top="1.0"/>
  <pageSetup paperSize="9"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4.0"/>
    <col customWidth="1" min="4" max="4" width="26.0"/>
    <col customWidth="1" min="5" max="6" width="24.0"/>
    <col customWidth="1" min="7" max="7" width="10.0"/>
    <col customWidth="1" min="8" max="8" width="8.0"/>
    <col customWidth="1" min="9" max="9" width="10.0"/>
    <col customWidth="1" min="10" max="10" width="18.0"/>
    <col customWidth="1" min="11" max="11" width="14.0"/>
    <col customWidth="1" min="12" max="12" width="12.0"/>
    <col customWidth="1" min="13" max="13" width="16.0"/>
    <col customWidth="1" min="14" max="14" width="20.0"/>
  </cols>
  <sheetData>
    <row r="1" ht="30.0" customHeight="1">
      <c r="A1" s="1" t="s">
        <v>1</v>
      </c>
      <c r="B1" s="1" t="s">
        <v>8</v>
      </c>
      <c r="C1" s="1" t="s">
        <v>3</v>
      </c>
      <c r="D1" s="1" t="s">
        <v>14</v>
      </c>
      <c r="E1" s="1" t="s">
        <v>17</v>
      </c>
      <c r="F1" s="1" t="s">
        <v>18</v>
      </c>
      <c r="G1" s="1" t="s">
        <v>11</v>
      </c>
      <c r="H1" s="1" t="s">
        <v>12</v>
      </c>
      <c r="I1" s="1" t="s">
        <v>10</v>
      </c>
      <c r="J1" s="1" t="s">
        <v>23</v>
      </c>
      <c r="K1" s="1" t="s">
        <v>24</v>
      </c>
      <c r="L1" s="1" t="s">
        <v>25</v>
      </c>
      <c r="M1" s="7"/>
      <c r="N1" s="7"/>
    </row>
    <row r="2" ht="54.75" customHeight="1">
      <c r="A2" s="9" t="s">
        <v>38</v>
      </c>
      <c r="B2" s="11" t="s">
        <v>40</v>
      </c>
      <c r="C2" s="9" t="s">
        <v>43</v>
      </c>
      <c r="D2" s="11" t="s">
        <v>47</v>
      </c>
      <c r="E2" s="11" t="s">
        <v>49</v>
      </c>
      <c r="F2" s="11" t="s">
        <v>51</v>
      </c>
      <c r="G2" s="9" t="s">
        <v>52</v>
      </c>
      <c r="H2" s="9" t="s">
        <v>53</v>
      </c>
      <c r="I2" s="9" t="s">
        <v>54</v>
      </c>
      <c r="J2" s="11" t="s">
        <v>55</v>
      </c>
      <c r="K2" s="9" t="s">
        <v>39</v>
      </c>
      <c r="L2" s="12">
        <v>46263.0</v>
      </c>
      <c r="M2" s="13"/>
      <c r="N2" s="13"/>
    </row>
    <row r="3">
      <c r="A3" s="9" t="s">
        <v>68</v>
      </c>
      <c r="B3" s="11" t="s">
        <v>70</v>
      </c>
      <c r="C3" s="9" t="s">
        <v>43</v>
      </c>
      <c r="D3" s="11" t="s">
        <v>73</v>
      </c>
      <c r="E3" s="11" t="s">
        <v>75</v>
      </c>
      <c r="F3" s="11" t="s">
        <v>78</v>
      </c>
      <c r="G3" s="9" t="s">
        <v>52</v>
      </c>
      <c r="H3" s="11" t="s">
        <v>53</v>
      </c>
      <c r="I3" s="9" t="s">
        <v>54</v>
      </c>
      <c r="J3" s="11" t="s">
        <v>81</v>
      </c>
      <c r="K3" s="9" t="s">
        <v>39</v>
      </c>
      <c r="L3" s="12">
        <v>46264.0</v>
      </c>
      <c r="M3" s="13"/>
      <c r="N3" s="3"/>
    </row>
    <row r="4">
      <c r="A4" s="9" t="s">
        <v>82</v>
      </c>
      <c r="B4" s="11" t="s">
        <v>84</v>
      </c>
      <c r="C4" s="11" t="s">
        <v>86</v>
      </c>
      <c r="D4" s="11" t="s">
        <v>88</v>
      </c>
      <c r="E4" s="11" t="s">
        <v>89</v>
      </c>
      <c r="F4" s="11" t="s">
        <v>92</v>
      </c>
      <c r="G4" s="11" t="s">
        <v>35</v>
      </c>
      <c r="H4" s="11" t="s">
        <v>36</v>
      </c>
      <c r="I4" s="9" t="s">
        <v>54</v>
      </c>
      <c r="J4" s="11" t="s">
        <v>95</v>
      </c>
      <c r="K4" s="9" t="s">
        <v>39</v>
      </c>
      <c r="L4" s="12">
        <v>46264.0</v>
      </c>
      <c r="M4" s="13"/>
      <c r="N4" s="3"/>
    </row>
    <row r="5">
      <c r="A5" s="9" t="s">
        <v>97</v>
      </c>
      <c r="B5" s="11" t="s">
        <v>98</v>
      </c>
      <c r="C5" s="11" t="s">
        <v>86</v>
      </c>
      <c r="D5" s="11" t="s">
        <v>102</v>
      </c>
      <c r="E5" s="11" t="s">
        <v>105</v>
      </c>
      <c r="F5" s="11" t="s">
        <v>106</v>
      </c>
      <c r="G5" s="11" t="s">
        <v>35</v>
      </c>
      <c r="H5" s="11" t="s">
        <v>36</v>
      </c>
      <c r="I5" s="9" t="s">
        <v>54</v>
      </c>
      <c r="J5" s="11" t="s">
        <v>95</v>
      </c>
      <c r="K5" s="9" t="s">
        <v>39</v>
      </c>
      <c r="L5" s="12">
        <v>46264.0</v>
      </c>
      <c r="M5" s="13"/>
      <c r="N5" s="3"/>
    </row>
    <row r="6">
      <c r="A6" s="9" t="s">
        <v>109</v>
      </c>
      <c r="B6" s="11" t="s">
        <v>111</v>
      </c>
      <c r="C6" s="11" t="s">
        <v>112</v>
      </c>
      <c r="D6" s="11" t="s">
        <v>115</v>
      </c>
      <c r="E6" s="11" t="s">
        <v>117</v>
      </c>
      <c r="F6" s="11" t="s">
        <v>119</v>
      </c>
      <c r="G6" s="11" t="s">
        <v>35</v>
      </c>
      <c r="H6" s="11" t="s">
        <v>36</v>
      </c>
      <c r="I6" s="9" t="s">
        <v>54</v>
      </c>
      <c r="J6" s="11" t="s">
        <v>123</v>
      </c>
      <c r="K6" s="9" t="s">
        <v>39</v>
      </c>
      <c r="L6" s="12">
        <v>46264.0</v>
      </c>
      <c r="M6" s="13"/>
      <c r="N6" s="3"/>
    </row>
    <row r="7">
      <c r="A7" s="9" t="s">
        <v>125</v>
      </c>
      <c r="B7" s="11" t="s">
        <v>126</v>
      </c>
      <c r="C7" s="11" t="s">
        <v>112</v>
      </c>
      <c r="D7" s="11" t="s">
        <v>129</v>
      </c>
      <c r="E7" s="11" t="s">
        <v>130</v>
      </c>
      <c r="F7" s="11" t="s">
        <v>133</v>
      </c>
      <c r="G7" s="11" t="s">
        <v>35</v>
      </c>
      <c r="H7" s="11" t="s">
        <v>36</v>
      </c>
      <c r="I7" s="9" t="s">
        <v>54</v>
      </c>
      <c r="J7" s="11" t="s">
        <v>123</v>
      </c>
      <c r="K7" s="9" t="s">
        <v>39</v>
      </c>
      <c r="L7" s="12">
        <v>46264.0</v>
      </c>
      <c r="M7" s="13"/>
      <c r="N7" s="3"/>
    </row>
    <row r="8">
      <c r="A8" s="9" t="s">
        <v>137</v>
      </c>
      <c r="B8" s="11" t="s">
        <v>138</v>
      </c>
      <c r="C8" s="11" t="s">
        <v>140</v>
      </c>
      <c r="D8" s="11" t="s">
        <v>142</v>
      </c>
      <c r="E8" s="11" t="s">
        <v>144</v>
      </c>
      <c r="F8" s="11" t="s">
        <v>145</v>
      </c>
      <c r="G8" s="9" t="s">
        <v>52</v>
      </c>
      <c r="H8" s="11" t="s">
        <v>53</v>
      </c>
      <c r="I8" s="9" t="s">
        <v>54</v>
      </c>
      <c r="J8" s="11" t="s">
        <v>55</v>
      </c>
      <c r="K8" s="9" t="s">
        <v>39</v>
      </c>
      <c r="L8" s="12">
        <v>46264.0</v>
      </c>
      <c r="M8" s="1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0.0"/>
    <col customWidth="1" min="3" max="6" width="8.71"/>
  </cols>
  <sheetData>
    <row r="1" ht="17.25" customHeight="1">
      <c r="A1" s="2" t="s">
        <v>2</v>
      </c>
    </row>
    <row r="2">
      <c r="A2" s="3"/>
      <c r="B2" s="3"/>
    </row>
    <row r="3" ht="15.0" customHeight="1">
      <c r="A3" s="4" t="s">
        <v>19</v>
      </c>
      <c r="B3" s="6"/>
    </row>
    <row r="4" ht="15.0" customHeight="1">
      <c r="A4" s="4" t="s">
        <v>32</v>
      </c>
      <c r="B4" s="6"/>
    </row>
    <row r="5" ht="15.0" customHeight="1">
      <c r="A5" s="4" t="s">
        <v>15</v>
      </c>
      <c r="B5" s="6"/>
    </row>
    <row r="6" ht="15.0" customHeight="1">
      <c r="A6" s="4" t="s">
        <v>34</v>
      </c>
      <c r="B6" s="6">
        <f>COUNTA('Test Case Tracker'!A2:A1000)</f>
        <v>50</v>
      </c>
    </row>
    <row r="7" ht="15.0" customHeight="1">
      <c r="A7" s="4" t="s">
        <v>77</v>
      </c>
      <c r="B7" s="6">
        <f>COUNTIF('Test Case Tracker'!H2:H1000,"Pass")</f>
        <v>19</v>
      </c>
    </row>
    <row r="8" ht="15.0" customHeight="1">
      <c r="A8" s="4" t="s">
        <v>101</v>
      </c>
      <c r="B8" s="6">
        <f>COUNTIF('Test Case Tracker'!H2:H1000,"Fail")</f>
        <v>10</v>
      </c>
    </row>
    <row r="9" ht="15.0" customHeight="1">
      <c r="A9" s="4" t="s">
        <v>122</v>
      </c>
      <c r="B9" s="6">
        <f>COUNTIF('Test Case Tracker'!H2:H1000,"Blocked")</f>
        <v>0</v>
      </c>
    </row>
    <row r="10" ht="15.0" customHeight="1">
      <c r="A10" s="4" t="s">
        <v>139</v>
      </c>
      <c r="B10" s="6">
        <f>COUNTIF('Test Case Tracker'!H2:H1000,"Not Run")</f>
        <v>19</v>
      </c>
    </row>
    <row r="11" ht="15.0" customHeight="1">
      <c r="A11" s="4" t="s">
        <v>156</v>
      </c>
      <c r="B11" s="15">
        <f>IFERROR(B7/B6,0)</f>
        <v>0.38</v>
      </c>
    </row>
    <row r="12" ht="15.0" customHeight="1">
      <c r="A12" s="4" t="s">
        <v>184</v>
      </c>
      <c r="B12" s="6">
        <f>COUNTA('Bug Report Log'!A2:A1000)</f>
        <v>7</v>
      </c>
    </row>
    <row r="13" ht="15.0" customHeight="1">
      <c r="A13" s="4" t="s">
        <v>193</v>
      </c>
      <c r="B13" s="6">
        <f>COUNTIFS('Bug Report Log'!G2:G1000,"High",'Bug Report Log'!I2:I1000,"Open")+COUNTIFS('Bug Report Log'!G2:G1000,"Critical",'Bug Report Log'!I2:I1000,"Open")</f>
        <v>3</v>
      </c>
    </row>
    <row r="14" ht="15.0" customHeight="1">
      <c r="A14" s="4" t="s">
        <v>219</v>
      </c>
      <c r="B14" s="6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